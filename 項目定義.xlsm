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153D705D-9BEC-407D-8931-C17BF3F8EECD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設定" sheetId="2" r:id="rId5"/>
    <sheet name="WORK" sheetId="4" state="hidden" r:id="rId6"/>
  </sheets>
  <functionGroups builtInGroupCount="19"/>
  <definedNames>
    <definedName name="api_elements_path">設定!$E$9</definedName>
    <definedName name="INVALID">FALSE</definedName>
    <definedName name="save_data_path">設定!$E$6</definedName>
    <definedName name="table_elements_path">設定!$E$8</definedName>
    <definedName name="types_ddl_path">設定!$E$10</definedName>
    <definedName name="VALID">TRUE</definedName>
    <definedName name="VALIDATION_RESULT">TRUE</definedName>
    <definedName name="view_derive_elements_path">設定!$E$13</definedName>
    <definedName name="view_elements_path">設定!$E$12</definedName>
    <definedName name="view_segments_path">設定!$E$14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3" l="1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8" i="3"/>
  <c r="C16" i="3"/>
  <c r="C24" i="3"/>
  <c r="C32" i="3"/>
  <c r="C40" i="3"/>
  <c r="C48" i="3"/>
  <c r="C52" i="3"/>
  <c r="C9" i="3"/>
  <c r="C17" i="3"/>
  <c r="C25" i="3"/>
  <c r="C33" i="3"/>
  <c r="C41" i="3"/>
  <c r="C49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  <c r="C4" i="3"/>
  <c r="C12" i="3"/>
  <c r="C20" i="3"/>
  <c r="C28" i="3"/>
  <c r="C36" i="3"/>
  <c r="C44" i="3"/>
  <c r="C2" i="2" l="1" a="1"/>
  <c r="C2" i="2" s="1"/>
  <c r="E3" i="2" s="1"/>
  <c r="E14" i="2" l="1"/>
  <c r="E10" i="2"/>
  <c r="E9" i="2"/>
  <c r="E12" i="2"/>
  <c r="E13" i="2"/>
  <c r="E6" i="2"/>
  <c r="E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<sst xmlns="http://schemas.openxmlformats.org/spreadsheetml/2006/main" count="385" uniqueCount="244">
  <si>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</si>
  <si>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</si>
  <si>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</si>
  <si>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</si>
  <si>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</si>
  <si>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</si>
  <si>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</si>
  <si>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</si>
  <si>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NO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</si>
  <si>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</si>
  <si>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</si>
  <si>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</si>
  <si>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</si>
  <si>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</si>
  <si>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</si>
  <si>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</si>
  <si>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</si>
  <si>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</si>
  <si>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</si>
  <si>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</si>
  <si>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</si>
  <si>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</si>
  <si>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</si>
  <si>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</si>
  <si>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</si>
  <si>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</si>
  <si>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</si>
  <si>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</si>
  <si>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</si>
  <si>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</si>
  <si>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</si>
  <si>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</si>
  <si>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</si>
  <si>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</si>
  <si>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</si>
  <si>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</si>
  <si>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</si>
  <si>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</si>
  <si>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</si>
  <si>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</si>
  <si>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</si>
  <si>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</si>
  <si>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</si>
  <si>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</si>
  <si>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</si>
  <si>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</si>
  <si>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</si>
  <si>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</si>
  <si>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</si>
  <si>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</si>
  <si>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</si>
  <si>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</si>
  <si>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</si>
  <si>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</si>
  <si>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</si>
  <si>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</si>
  <si>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</si>
  <si>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</si>
  <si>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</si>
  <si>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</si>
  <si>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</si>
  <si>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</si>
  <si>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</si>
  <si>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</si>
  <si>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</si>
  <si>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</si>
  <si>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</si>
  <si>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</si>
  <si>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</si>
  <si>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</si>
  <si>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GIT_DIR</t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</si>
  <si>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</si>
  <si>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</si>
  <si>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</si>
  <si>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</si>
  <si>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</si>
  <si>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</si>
  <si>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</si>
  <si>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</si>
  <si>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</si>
  <si>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</si>
  <si>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</si>
  <si>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</si>
  <si>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</si>
  <si>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</si>
  <si>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</si>
  <si>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カレントディレクトリ</t>
    <phoneticPr fontId="1"/>
  </si>
  <si>
    <t>dist</t>
    <phoneticPr fontId="1"/>
  </si>
  <si>
    <t>ファイル名</t>
    <rPh sb="4" eb="5">
      <t>メイ</t>
    </rPh>
    <phoneticPr fontId="1"/>
  </si>
  <si>
    <t>➡</t>
    <phoneticPr fontId="1"/>
  </si>
  <si>
    <t>NO</t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</si>
  <si>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</si>
  <si>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</si>
  <si>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</si>
  <si>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</si>
  <si>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</si>
  <si>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</si>
  <si>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</si>
  <si>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</si>
  <si>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</si>
  <si>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</si>
  <si>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</si>
  <si>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</si>
  <si>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</si>
  <si>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</si>
  <si>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</si>
  <si>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</si>
  <si>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</si>
  <si>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</si>
  <si>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</si>
  <si>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</si>
  <si>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</si>
  <si>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</si>
  <si>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</si>
  <si>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</si>
  <si>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</si>
  <si>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</si>
  <si>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</si>
  <si>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</si>
  <si>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</si>
  <si>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</si>
  <si>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</si>
  <si>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</si>
  <si>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</si>
  <si>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</si>
  <si>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</si>
  <si>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</si>
  <si>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</si>
  <si>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</si>
  <si>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</si>
  <si>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</si>
  <si>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</si>
  <si>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■Git管理データ</t>
    <rPh sb="4" eb="6">
      <t>カンリ</t>
    </rPh>
    <phoneticPr fontId="1"/>
  </si>
  <si>
    <t>save_data.yaml</t>
    <phoneticPr fontId="1"/>
  </si>
  <si>
    <t>NO_CHECKED</t>
  </si>
  <si>
    <t>CHANGED</t>
  </si>
  <si>
    <t>■テーブル定義連携用</t>
    <rPh sb="5" eb="7">
      <t>テイギ</t>
    </rPh>
    <rPh sb="7" eb="9">
      <t>レンケイ</t>
    </rPh>
    <rPh sb="9" eb="10">
      <t>ヨウ</t>
    </rPh>
    <phoneticPr fontId="1"/>
  </si>
  <si>
    <t>STOPPED</t>
  </si>
  <si>
    <t>■API定義連携用</t>
    <rPh sb="4" eb="6">
      <t>テイギ</t>
    </rPh>
    <rPh sb="6" eb="8">
      <t>レンケイ</t>
    </rPh>
    <rPh sb="8" eb="9">
      <t>ヨウ</t>
    </rPh>
    <phoneticPr fontId="1"/>
  </si>
  <si>
    <t>api_elements.yaml</t>
    <phoneticPr fontId="1"/>
  </si>
  <si>
    <t>区分名</t>
    <rPh sb="0" eb="3">
      <t>クブンメイ</t>
    </rPh>
    <phoneticPr fontId="1"/>
  </si>
  <si>
    <t>view_segments.tsv</t>
    <phoneticPr fontId="1"/>
  </si>
  <si>
    <t>view_derive_elements.tsv</t>
    <phoneticPr fontId="1"/>
  </si>
  <si>
    <t>view_elements.tsv</t>
    <phoneticPr fontId="1"/>
  </si>
  <si>
    <t>■項目View</t>
    <rPh sb="1" eb="3">
      <t>コウモク</t>
    </rPh>
    <phoneticPr fontId="1"/>
  </si>
  <si>
    <t>■別名View</t>
    <rPh sb="1" eb="3">
      <t>ベツメイ</t>
    </rPh>
    <phoneticPr fontId="1"/>
  </si>
  <si>
    <t>■区分値View</t>
    <rPh sb="1" eb="4">
      <t>クブンチ</t>
    </rPh>
    <phoneticPr fontId="1"/>
  </si>
  <si>
    <t>NORMAL</t>
  </si>
  <si>
    <t>■Enum（Type）DDL</t>
    <phoneticPr fontId="1"/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</si>
  <si>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</si>
  <si>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</si>
  <si>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</si>
  <si>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</si>
  <si>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</si>
  <si>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</si>
  <si>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</si>
  <si>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</si>
  <si>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</si>
  <si>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</si>
  <si>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</si>
  <si>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</si>
  <si>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</si>
  <si>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</si>
  <si>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</si>
  <si>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</si>
  <si>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</si>
  <si>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</si>
  <si>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0001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</si>
  <si>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</si>
  <si>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</si>
  <si>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</si>
  <si>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</si>
  <si>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</si>
  <si>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</si>
  <si>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</si>
  <si>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</si>
  <si>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</si>
  <si>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</si>
  <si>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</si>
  <si>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</si>
  <si>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</si>
  <si>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</si>
  <si>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</si>
  <si>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</si>
  <si>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</si>
  <si>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</si>
  <si>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</si>
  <si>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</si>
  <si>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</si>
  <si>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</si>
  <si>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</si>
  <si>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</si>
  <si>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</si>
  <si>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</si>
  <si>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</si>
  <si>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</si>
  <si>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</si>
  <si>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</si>
  <si>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</si>
  <si>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</si>
  <si>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</si>
  <si>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</si>
  <si>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</si>
  <si>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</si>
  <si>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</si>
  <si>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</si>
  <si>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</si>
  <si>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</si>
  <si>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</si>
  <si>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</si>
  <si>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</si>
  <si>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</si>
  <si>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</si>
  <si>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</si>
  <si>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</si>
  <si>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</si>
  <si>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</si>
  <si>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</si>
  <si>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</si>
  <si>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01_types.sql</t>
    <phoneticPr fontId="1"/>
  </si>
  <si>
    <t>発送時間</t>
  </si>
  <si>
    <t>時間</t>
  </si>
  <si>
    <t>14:00</t>
  </si>
  <si>
    <t>出荷時間</t>
  </si>
  <si>
    <t>table_elements.yaml</t>
    <phoneticPr fontId="1"/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</si>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</sst>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6" borderId="14" xfId="0" applyFill="1" applyBorder="1">
      <alignment vertical="center"/>
    </xf>
    <xf numFmtId="179" fontId="2" fillId="5" borderId="12" xfId="0" applyNumberFormat="1" applyFont="1" applyFill="1" applyBorder="1">
      <alignment vertical="center"/>
    </xf>
    <xf numFmtId="0" fontId="2" fillId="7" borderId="12" xfId="0" applyFont="1" applyFill="1" applyBorder="1">
      <alignment vertical="center"/>
    </xf>
    <xf numFmtId="178" fontId="2" fillId="7" borderId="12" xfId="0" applyNumberFormat="1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</cellXfs>
  <cellStyles count="1">
    <cellStyle name="標準" xfId="0" builtinId="0"/>
  </cellStyles>
  <dxfs count="1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311"/>
  <sheetViews>
    <sheetView showGridLines="0" tabSelected="1" workbookViewId="0">
      <pane ySplit="1" topLeftCell="A12" activePane="bottomLeft" state="frozen"/>
      <selection activeCell="E5" sqref="E5"/>
      <selection pane="bottomLeft" activeCell="L30" sqref="L30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7" t="s">
        <v>71</v>
      </c>
      <c r="B1" s="19" t="s">
        <v>72</v>
      </c>
      <c r="C1" s="19" t="s">
        <v>73</v>
      </c>
      <c r="D1" s="19" t="s">
        <v>0</v>
      </c>
      <c r="E1" s="20" t="s">
        <v>1</v>
      </c>
      <c r="F1" s="20" t="s">
        <v>2</v>
      </c>
      <c r="G1" s="20" t="s">
        <v>3</v>
      </c>
      <c r="H1" s="40" t="s">
        <v>4</v>
      </c>
      <c r="I1" s="41"/>
      <c r="J1" s="40" t="s">
        <v>5</v>
      </c>
      <c r="K1" s="41"/>
      <c r="L1" s="19" t="s">
        <v>74</v>
      </c>
      <c r="M1" s="20" t="s">
        <v>6</v>
      </c>
      <c r="N1" s="19" t="s">
        <v>62</v>
      </c>
      <c r="O1" s="19" t="s">
        <v>62</v>
      </c>
      <c r="P1" s="21" t="s">
        <v>129</v>
      </c>
      <c r="Q1" s="22" t="s">
        <v>75</v>
      </c>
    </row>
    <row r="2" spans="1:17" ht="15" x14ac:dyDescent="0.55000000000000004">
      <c r="A2" s="42" t="s">
        <v>191</v>
      </c>
      <c r="B2" s="42" t="s">
        <v>195</v>
      </c>
      <c r="C2" s="26" t="str">
        <f t="shared" ref="C2:C33" si="0">camel2snake(B2)</f>
        <v>product_no</v>
      </c>
      <c r="D2" s="42" t="s">
        <v>90</v>
      </c>
      <c r="E2" s="35"/>
      <c r="F2" s="48">
        <v>9</v>
      </c>
      <c r="G2" s="48">
        <v>10</v>
      </c>
      <c r="H2" s="35"/>
      <c r="I2" s="36"/>
      <c r="J2" s="35"/>
      <c r="K2" s="36"/>
      <c r="L2" s="46" t="s">
        <v>95</v>
      </c>
      <c r="M2" s="42" t="s">
        <v>117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4">
        <f ca="1">COUNTIF(派生元項目KEY,A2)</f>
        <v>0</v>
      </c>
      <c r="Q2" s="34">
        <f ca="1">COUNTIF(区分値項目KEY,A2)</f>
        <v>0</v>
      </c>
    </row>
    <row r="3" spans="1:17" ht="15" x14ac:dyDescent="0.55000000000000004">
      <c r="A3" s="42" t="s">
        <v>91</v>
      </c>
      <c r="B3" s="42" t="s">
        <v>93</v>
      </c>
      <c r="C3" s="26" t="str">
        <f t="shared" si="0"/>
        <v>price</v>
      </c>
      <c r="D3" s="42" t="s">
        <v>96</v>
      </c>
      <c r="E3" s="35"/>
      <c r="F3" s="35"/>
      <c r="G3" s="35"/>
      <c r="H3" s="48">
        <v>0</v>
      </c>
      <c r="I3" s="44">
        <v>1</v>
      </c>
      <c r="J3" s="48">
        <v>99999</v>
      </c>
      <c r="K3" s="44">
        <v>1</v>
      </c>
      <c r="L3" s="46" t="s">
        <v>99</v>
      </c>
      <c r="M3" s="42" t="s">
        <v>118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4">
        <f ca="1">COUNTIF(派生元項目KEY,A3)</f>
        <v>1</v>
      </c>
      <c r="Q3" s="34">
        <f ca="1">COUNTIF(区分値項目KEY,A3)</f>
        <v>0</v>
      </c>
    </row>
    <row r="4" spans="1:17" ht="15" x14ac:dyDescent="0.55000000000000004">
      <c r="A4" s="42" t="s">
        <v>92</v>
      </c>
      <c r="B4" s="42" t="s">
        <v>94</v>
      </c>
      <c r="C4" s="26" t="str">
        <f t="shared" si="0"/>
        <v>up</v>
      </c>
      <c r="D4" s="42" t="s">
        <v>98</v>
      </c>
      <c r="E4" s="35"/>
      <c r="F4" s="35"/>
      <c r="G4" s="35"/>
      <c r="H4" s="48">
        <v>0</v>
      </c>
      <c r="I4" s="44"/>
      <c r="J4" s="48">
        <v>1000</v>
      </c>
      <c r="K4" s="44">
        <v>1</v>
      </c>
      <c r="L4" s="46" t="s">
        <v>100</v>
      </c>
      <c r="M4" s="42" t="s">
        <v>119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4">
        <f ca="1">COUNTIF(派生元項目KEY,A4)</f>
        <v>0</v>
      </c>
      <c r="Q4" s="34">
        <f ca="1">COUNTIF(区分値項目KEY,A4)</f>
        <v>0</v>
      </c>
    </row>
    <row r="5" spans="1:17" ht="15" x14ac:dyDescent="0.55000000000000004">
      <c r="A5" s="42" t="s">
        <v>101</v>
      </c>
      <c r="B5" s="42" t="s">
        <v>228</v>
      </c>
      <c r="C5" s="26" t="str">
        <f t="shared" si="0"/>
        <v>registration_date</v>
      </c>
      <c r="D5" s="42" t="s">
        <v>97</v>
      </c>
      <c r="E5" s="35"/>
      <c r="F5" s="35"/>
      <c r="G5" s="35"/>
      <c r="H5" s="35"/>
      <c r="I5" s="36"/>
      <c r="J5" s="35"/>
      <c r="K5" s="36"/>
      <c r="L5" s="46" t="s">
        <v>102</v>
      </c>
      <c r="M5" s="42" t="s">
        <v>101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4">
        <f ca="1">COUNTIF(派生元項目KEY,A5)</f>
        <v>0</v>
      </c>
      <c r="Q5" s="34">
        <f ca="1">COUNTIF(区分値項目KEY,A5)</f>
        <v>0</v>
      </c>
    </row>
    <row r="6" spans="1:17" ht="15" x14ac:dyDescent="0.55000000000000004">
      <c r="A6" s="42" t="s">
        <v>105</v>
      </c>
      <c r="B6" s="42" t="s">
        <v>106</v>
      </c>
      <c r="C6" s="26" t="str">
        <f t="shared" si="0"/>
        <v>product_kbn</v>
      </c>
      <c r="D6" s="42" t="s">
        <v>116</v>
      </c>
      <c r="E6" s="35"/>
      <c r="F6" s="48"/>
      <c r="G6" s="42"/>
      <c r="H6" s="35"/>
      <c r="I6" s="36"/>
      <c r="J6" s="35"/>
      <c r="K6" s="36"/>
      <c r="L6" s="46" t="s">
        <v>147</v>
      </c>
      <c r="M6" s="42" t="s">
        <v>107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4">
        <f ca="1">COUNTIF(派生元項目KEY,A6)</f>
        <v>0</v>
      </c>
      <c r="Q6" s="34">
        <f ca="1">COUNTIF(区分値項目KEY,A6)</f>
        <v>4</v>
      </c>
    </row>
    <row r="7" spans="1:17" ht="15" x14ac:dyDescent="0.55000000000000004">
      <c r="A7" s="42" t="s">
        <v>121</v>
      </c>
      <c r="B7" s="42" t="s">
        <v>123</v>
      </c>
      <c r="C7" s="26" t="str">
        <f t="shared" si="0"/>
        <v>comment</v>
      </c>
      <c r="D7" s="42" t="s">
        <v>122</v>
      </c>
      <c r="E7" s="46"/>
      <c r="F7" s="48">
        <v>10</v>
      </c>
      <c r="G7" s="35"/>
      <c r="H7" s="35"/>
      <c r="I7" s="36"/>
      <c r="J7" s="35"/>
      <c r="K7" s="36"/>
      <c r="L7" s="46" t="s">
        <v>124</v>
      </c>
      <c r="M7" s="42" t="s">
        <v>121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4">
        <f ca="1">COUNTIF(派生元項目KEY,A7)</f>
        <v>0</v>
      </c>
      <c r="Q7" s="34">
        <f ca="1">COUNTIF(区分値項目KEY,A7)</f>
        <v>0</v>
      </c>
    </row>
    <row r="8" spans="1:17" ht="15" x14ac:dyDescent="0.55000000000000004">
      <c r="A8" s="42" t="s">
        <v>125</v>
      </c>
      <c r="B8" s="42" t="s">
        <v>131</v>
      </c>
      <c r="C8" s="26" t="str">
        <f t="shared" si="0"/>
        <v>can_update</v>
      </c>
      <c r="D8" s="42" t="s">
        <v>126</v>
      </c>
      <c r="E8" s="35"/>
      <c r="F8" s="35"/>
      <c r="G8" s="35"/>
      <c r="H8" s="35"/>
      <c r="I8" s="36"/>
      <c r="J8" s="35"/>
      <c r="K8" s="36"/>
      <c r="L8" s="46" t="s">
        <v>127</v>
      </c>
      <c r="M8" s="42" t="s">
        <v>128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4">
        <f ca="1">COUNTIF(派生元項目KEY,A8)</f>
        <v>0</v>
      </c>
      <c r="Q8" s="34">
        <f ca="1">COUNTIF(区分値項目KEY,A8)</f>
        <v>0</v>
      </c>
    </row>
    <row r="9" spans="1:17" ht="15" x14ac:dyDescent="0.55000000000000004">
      <c r="A9" s="42" t="s">
        <v>149</v>
      </c>
      <c r="B9" s="42" t="s">
        <v>215</v>
      </c>
      <c r="C9" s="26" t="str">
        <f t="shared" si="0"/>
        <v>department</v>
      </c>
      <c r="D9" s="42" t="s">
        <v>116</v>
      </c>
      <c r="E9" s="35"/>
      <c r="F9" s="48"/>
      <c r="G9" s="42"/>
      <c r="H9" s="35"/>
      <c r="I9" s="36"/>
      <c r="J9" s="35"/>
      <c r="K9" s="36"/>
      <c r="L9" s="46" t="s">
        <v>177</v>
      </c>
      <c r="M9" s="42" t="s">
        <v>149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4">
        <f ca="1">COUNTIF(派生元項目KEY,A9)</f>
        <v>1</v>
      </c>
      <c r="Q9" s="34">
        <f ca="1">COUNTIF(区分値項目KEY,A9)</f>
        <v>5</v>
      </c>
    </row>
    <row r="10" spans="1:17" ht="15" x14ac:dyDescent="0.55000000000000004">
      <c r="A10" s="42" t="s">
        <v>150</v>
      </c>
      <c r="B10" s="42" t="s">
        <v>157</v>
      </c>
      <c r="C10" s="26" t="str">
        <f t="shared" si="0"/>
        <v>order_date</v>
      </c>
      <c r="D10" s="42" t="s">
        <v>97</v>
      </c>
      <c r="E10" s="35"/>
      <c r="F10" s="35"/>
      <c r="G10" s="35"/>
      <c r="H10" s="35"/>
      <c r="I10" s="36"/>
      <c r="J10" s="35"/>
      <c r="K10" s="36"/>
      <c r="L10" s="46" t="s">
        <v>102</v>
      </c>
      <c r="M10" s="42" t="s">
        <v>150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4">
        <f ca="1">COUNTIF(派生元項目KEY,A10)</f>
        <v>0</v>
      </c>
      <c r="Q10" s="34">
        <f ca="1">COUNTIF(区分値項目KEY,A10)</f>
        <v>0</v>
      </c>
    </row>
    <row r="11" spans="1:17" ht="15" x14ac:dyDescent="0.55000000000000004">
      <c r="A11" s="42" t="s">
        <v>151</v>
      </c>
      <c r="B11" s="42" t="s">
        <v>158</v>
      </c>
      <c r="C11" s="26" t="str">
        <f t="shared" si="0"/>
        <v>quantity</v>
      </c>
      <c r="D11" s="42" t="s">
        <v>96</v>
      </c>
      <c r="E11" s="35"/>
      <c r="F11" s="35"/>
      <c r="G11" s="35"/>
      <c r="H11" s="48">
        <v>0</v>
      </c>
      <c r="I11" s="44">
        <v>1</v>
      </c>
      <c r="J11" s="48">
        <v>99999</v>
      </c>
      <c r="K11" s="44">
        <v>1</v>
      </c>
      <c r="L11" s="46" t="s">
        <v>161</v>
      </c>
      <c r="M11" s="42" t="s">
        <v>151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4">
        <f ca="1">COUNTIF(派生元項目KEY,A11)</f>
        <v>0</v>
      </c>
      <c r="Q11" s="34">
        <f ca="1">COUNTIF(区分値項目KEY,A11)</f>
        <v>0</v>
      </c>
    </row>
    <row r="12" spans="1:17" ht="15" x14ac:dyDescent="0.55000000000000004">
      <c r="A12" s="42" t="s">
        <v>192</v>
      </c>
      <c r="B12" s="42" t="s">
        <v>196</v>
      </c>
      <c r="C12" s="26" t="str">
        <f t="shared" si="0"/>
        <v>received_order_no</v>
      </c>
      <c r="D12" s="42" t="s">
        <v>90</v>
      </c>
      <c r="E12" s="35"/>
      <c r="F12" s="48">
        <v>10</v>
      </c>
      <c r="G12" s="48">
        <v>10</v>
      </c>
      <c r="H12" s="35"/>
      <c r="I12" s="36"/>
      <c r="J12" s="35"/>
      <c r="K12" s="36"/>
      <c r="L12" s="46" t="s">
        <v>162</v>
      </c>
      <c r="M12" s="42" t="s">
        <v>152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4">
        <f ca="1">COUNTIF(派生元項目KEY,A12)</f>
        <v>0</v>
      </c>
      <c r="Q12" s="34">
        <f ca="1">COUNTIF(区分値項目KEY,A12)</f>
        <v>0</v>
      </c>
    </row>
    <row r="13" spans="1:17" ht="15" x14ac:dyDescent="0.55000000000000004">
      <c r="A13" s="42" t="s">
        <v>153</v>
      </c>
      <c r="B13" s="42" t="s">
        <v>159</v>
      </c>
      <c r="C13" s="26" t="str">
        <f t="shared" si="0"/>
        <v>order_detail_no</v>
      </c>
      <c r="D13" s="42" t="s">
        <v>154</v>
      </c>
      <c r="E13" s="35"/>
      <c r="F13" s="35"/>
      <c r="G13" s="35"/>
      <c r="H13" s="35"/>
      <c r="I13" s="36"/>
      <c r="J13" s="35"/>
      <c r="K13" s="36"/>
      <c r="L13" s="46" t="s">
        <v>163</v>
      </c>
      <c r="M13" s="42" t="s">
        <v>204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4">
        <f ca="1">COUNTIF(派生元項目KEY,A13)</f>
        <v>0</v>
      </c>
      <c r="Q13" s="34">
        <f ca="1">COUNTIF(区分値項目KEY,A13)</f>
        <v>0</v>
      </c>
    </row>
    <row r="14" spans="1:17" ht="15" x14ac:dyDescent="0.55000000000000004">
      <c r="A14" s="42" t="s">
        <v>155</v>
      </c>
      <c r="B14" s="42" t="s">
        <v>197</v>
      </c>
      <c r="C14" s="26" t="str">
        <f t="shared" si="0"/>
        <v>person_in_charge</v>
      </c>
      <c r="D14" s="42" t="s">
        <v>164</v>
      </c>
      <c r="E14" s="46"/>
      <c r="F14" s="48"/>
      <c r="G14" s="48">
        <v>30</v>
      </c>
      <c r="H14" s="35"/>
      <c r="I14" s="36"/>
      <c r="J14" s="35"/>
      <c r="K14" s="36"/>
      <c r="L14" s="46" t="s">
        <v>165</v>
      </c>
      <c r="M14" s="42" t="s">
        <v>166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4">
        <f ca="1">COUNTIF(派生元項目KEY,A14)</f>
        <v>0</v>
      </c>
      <c r="Q14" s="34">
        <f ca="1">COUNTIF(区分値項目KEY,A14)</f>
        <v>0</v>
      </c>
    </row>
    <row r="15" spans="1:17" ht="15" x14ac:dyDescent="0.55000000000000004">
      <c r="A15" s="42" t="s">
        <v>156</v>
      </c>
      <c r="B15" s="42" t="s">
        <v>160</v>
      </c>
      <c r="C15" s="26" t="str">
        <f t="shared" si="0"/>
        <v>user_id</v>
      </c>
      <c r="D15" s="42" t="s">
        <v>90</v>
      </c>
      <c r="E15" s="35"/>
      <c r="F15" s="48">
        <v>4</v>
      </c>
      <c r="G15" s="48">
        <v>4</v>
      </c>
      <c r="H15" s="35"/>
      <c r="I15" s="36"/>
      <c r="J15" s="35"/>
      <c r="K15" s="36"/>
      <c r="L15" s="46" t="s">
        <v>167</v>
      </c>
      <c r="M15" s="42" t="s">
        <v>168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4">
        <f ca="1">COUNTIF(派生元項目KEY,A15)</f>
        <v>2</v>
      </c>
      <c r="Q15" s="34">
        <f ca="1">COUNTIF(区分値項目KEY,A15)</f>
        <v>0</v>
      </c>
    </row>
    <row r="16" spans="1:17" ht="15" x14ac:dyDescent="0.55000000000000004">
      <c r="A16" s="42" t="s">
        <v>241</v>
      </c>
      <c r="B16" s="42" t="s">
        <v>198</v>
      </c>
      <c r="C16" s="26" t="str">
        <f t="shared" si="0"/>
        <v>product_name</v>
      </c>
      <c r="D16" s="42" t="s">
        <v>164</v>
      </c>
      <c r="E16" s="46"/>
      <c r="F16" s="48"/>
      <c r="G16" s="48">
        <v>100</v>
      </c>
      <c r="H16" s="35"/>
      <c r="I16" s="36"/>
      <c r="J16" s="35"/>
      <c r="K16" s="36"/>
      <c r="L16" s="46" t="s">
        <v>205</v>
      </c>
      <c r="M16" s="42" t="s">
        <v>206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4">
        <f ca="1">COUNTIF(派生元項目KEY,A16)</f>
        <v>0</v>
      </c>
      <c r="Q16" s="34">
        <f ca="1">COUNTIF(区分値項目KEY,A16)</f>
        <v>0</v>
      </c>
    </row>
    <row r="17" spans="1:17" ht="15" x14ac:dyDescent="0.55000000000000004">
      <c r="A17" s="42" t="s">
        <v>189</v>
      </c>
      <c r="B17" s="42" t="s">
        <v>199</v>
      </c>
      <c r="C17" s="26" t="str">
        <f t="shared" si="0"/>
        <v>customer_id</v>
      </c>
      <c r="D17" s="42" t="s">
        <v>90</v>
      </c>
      <c r="E17" s="35"/>
      <c r="F17" s="48">
        <v>3</v>
      </c>
      <c r="G17" s="48">
        <v>3</v>
      </c>
      <c r="H17" s="35"/>
      <c r="I17" s="36"/>
      <c r="J17" s="35"/>
      <c r="K17" s="36"/>
      <c r="L17" s="46" t="s">
        <v>207</v>
      </c>
      <c r="M17" s="42" t="s">
        <v>208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4">
        <f ca="1">COUNTIF(派生元項目KEY,A17)</f>
        <v>0</v>
      </c>
      <c r="Q17" s="34">
        <f ca="1">COUNTIF(区分値項目KEY,A17)</f>
        <v>0</v>
      </c>
    </row>
    <row r="18" spans="1:17" ht="15" x14ac:dyDescent="0.55000000000000004">
      <c r="A18" s="42" t="s">
        <v>242</v>
      </c>
      <c r="B18" s="42" t="s">
        <v>200</v>
      </c>
      <c r="C18" s="26" t="str">
        <f t="shared" si="0"/>
        <v>customer_name</v>
      </c>
      <c r="D18" s="42" t="s">
        <v>164</v>
      </c>
      <c r="E18" s="46"/>
      <c r="F18" s="48"/>
      <c r="G18" s="48">
        <v>100</v>
      </c>
      <c r="H18" s="35"/>
      <c r="I18" s="36"/>
      <c r="J18" s="35"/>
      <c r="K18" s="36"/>
      <c r="L18" s="46" t="s">
        <v>209</v>
      </c>
      <c r="M18" s="42" t="s">
        <v>210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4">
        <f ca="1">COUNTIF(派生元項目KEY,A18)</f>
        <v>0</v>
      </c>
      <c r="Q18" s="34">
        <f ca="1">COUNTIF(区分値項目KEY,A18)</f>
        <v>0</v>
      </c>
    </row>
    <row r="19" spans="1:17" ht="15" x14ac:dyDescent="0.55000000000000004">
      <c r="A19" s="42" t="s">
        <v>190</v>
      </c>
      <c r="B19" s="42" t="s">
        <v>201</v>
      </c>
      <c r="C19" s="26" t="str">
        <f t="shared" si="0"/>
        <v>is_working</v>
      </c>
      <c r="D19" s="42" t="s">
        <v>126</v>
      </c>
      <c r="E19" s="35"/>
      <c r="F19" s="35"/>
      <c r="G19" s="35"/>
      <c r="H19" s="35"/>
      <c r="I19" s="36"/>
      <c r="J19" s="35"/>
      <c r="K19" s="36"/>
      <c r="L19" s="46" t="s">
        <v>211</v>
      </c>
      <c r="M19" s="42" t="s">
        <v>212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4">
        <f ca="1">COUNTIF(派生元項目KEY,A19)</f>
        <v>0</v>
      </c>
      <c r="Q19" s="34">
        <f ca="1">COUNTIF(区分値項目KEY,A19)</f>
        <v>0</v>
      </c>
    </row>
    <row r="20" spans="1:17" ht="15" x14ac:dyDescent="0.55000000000000004">
      <c r="A20" s="42" t="s">
        <v>193</v>
      </c>
      <c r="B20" s="42" t="s">
        <v>202</v>
      </c>
      <c r="C20" s="26" t="str">
        <f t="shared" si="0"/>
        <v>profit_rate</v>
      </c>
      <c r="D20" s="42" t="s">
        <v>98</v>
      </c>
      <c r="E20" s="35"/>
      <c r="F20" s="35"/>
      <c r="G20" s="35"/>
      <c r="H20" s="48">
        <v>-10</v>
      </c>
      <c r="I20" s="44">
        <v>1</v>
      </c>
      <c r="J20" s="48">
        <v>10</v>
      </c>
      <c r="K20" s="44">
        <v>1</v>
      </c>
      <c r="L20" s="46" t="s">
        <v>213</v>
      </c>
      <c r="M20" s="42" t="s">
        <v>193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4">
        <f ca="1">COUNTIF(派生元項目KEY,A20)</f>
        <v>0</v>
      </c>
      <c r="Q20" s="34">
        <f ca="1">COUNTIF(区分値項目KEY,A20)</f>
        <v>0</v>
      </c>
    </row>
    <row r="21" spans="1:17" ht="15" x14ac:dyDescent="0.55000000000000004">
      <c r="A21" s="42" t="s">
        <v>194</v>
      </c>
      <c r="B21" s="42" t="s">
        <v>203</v>
      </c>
      <c r="C21" s="26" t="str">
        <f t="shared" si="0"/>
        <v>exclude_report</v>
      </c>
      <c r="D21" s="42" t="s">
        <v>126</v>
      </c>
      <c r="E21" s="35"/>
      <c r="F21" s="35"/>
      <c r="G21" s="35"/>
      <c r="H21" s="35"/>
      <c r="I21" s="36"/>
      <c r="J21" s="35"/>
      <c r="K21" s="36"/>
      <c r="L21" s="46" t="s">
        <v>211</v>
      </c>
      <c r="M21" s="42" t="s">
        <v>214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4">
        <f ca="1">COUNTIF(派生元項目KEY,A21)</f>
        <v>0</v>
      </c>
      <c r="Q21" s="34">
        <f ca="1">COUNTIF(区分値項目KEY,A21)</f>
        <v>0</v>
      </c>
    </row>
    <row r="22" spans="1:17" ht="15" x14ac:dyDescent="0.55000000000000004">
      <c r="A22" s="42" t="s">
        <v>220</v>
      </c>
      <c r="B22" s="42" t="s">
        <v>225</v>
      </c>
      <c r="C22" s="26" t="str">
        <f t="shared" si="0"/>
        <v>shipping_time</v>
      </c>
      <c r="D22" s="42" t="s">
        <v>221</v>
      </c>
      <c r="E22" s="46" t="s">
        <v>243</v>
      </c>
      <c r="F22" s="35"/>
      <c r="G22" s="35"/>
      <c r="H22" s="35"/>
      <c r="I22" s="36"/>
      <c r="J22" s="35"/>
      <c r="K22" s="36"/>
      <c r="L22" s="46" t="s">
        <v>222</v>
      </c>
      <c r="M22" s="42" t="s">
        <v>223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4">
        <f ca="1">COUNTIF(派生元項目KEY,A22)</f>
        <v>0</v>
      </c>
      <c r="Q22" s="34">
        <f ca="1">COUNTIF(区分値項目KEY,A22)</f>
        <v>0</v>
      </c>
    </row>
    <row r="23" spans="1:17" ht="15" x14ac:dyDescent="0.55000000000000004">
      <c r="A23" s="42" t="s">
        <v>226</v>
      </c>
      <c r="B23" s="42" t="s">
        <v>229</v>
      </c>
      <c r="C23" s="26" t="str">
        <f t="shared" si="0"/>
        <v>is_active_customer</v>
      </c>
      <c r="D23" s="42" t="s">
        <v>126</v>
      </c>
      <c r="E23" s="35"/>
      <c r="F23" s="35"/>
      <c r="G23" s="35"/>
      <c r="H23" s="35"/>
      <c r="I23" s="36"/>
      <c r="J23" s="35"/>
      <c r="K23" s="36"/>
      <c r="L23" s="46" t="s">
        <v>211</v>
      </c>
      <c r="M23" s="42" t="s">
        <v>231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4">
        <f ca="1">COUNTIF(派生元項目KEY,A23)</f>
        <v>0</v>
      </c>
      <c r="Q23" s="34">
        <f ca="1">COUNTIF(区分値項目KEY,A23)</f>
        <v>0</v>
      </c>
    </row>
    <row r="24" spans="1:17" ht="15" x14ac:dyDescent="0.55000000000000004">
      <c r="A24" s="42" t="s">
        <v>227</v>
      </c>
      <c r="B24" s="42" t="s">
        <v>230</v>
      </c>
      <c r="C24" s="26" t="str">
        <f t="shared" si="0"/>
        <v>customer_type</v>
      </c>
      <c r="D24" s="42" t="s">
        <v>116</v>
      </c>
      <c r="E24" s="35"/>
      <c r="F24" s="48"/>
      <c r="G24" s="42"/>
      <c r="H24" s="35"/>
      <c r="I24" s="36"/>
      <c r="J24" s="35"/>
      <c r="K24" s="36"/>
      <c r="L24" s="46" t="s">
        <v>232</v>
      </c>
      <c r="M24" s="42" t="s">
        <v>233</v>
      </c>
      <c r="N24" s="26" t="str">
        <f>IFERROR(VLOOKUP(D24,ドメインタイプDATA,6,FALSE)&amp;"","")</f>
        <v>string</v>
      </c>
      <c r="O24" s="26" t="str">
        <f>IFERROR(VLOOKUP(D24,ドメインタイプDATA,7,FALSE)&amp;"","")</f>
        <v/>
      </c>
      <c r="P24" s="34">
        <f ca="1">COUNTIF(派生元項目KEY,A24)</f>
        <v>0</v>
      </c>
      <c r="Q24" s="34">
        <f ca="1">COUNTIF(区分値項目KEY,A24)</f>
        <v>4</v>
      </c>
    </row>
    <row r="25" spans="1:17" ht="15" x14ac:dyDescent="0.55000000000000004">
      <c r="A25" s="42"/>
      <c r="B25" s="42"/>
      <c r="C25" s="26" t="str">
        <f t="shared" si="0"/>
        <v/>
      </c>
      <c r="D25" s="42"/>
      <c r="E25" s="42"/>
      <c r="F25" s="42"/>
      <c r="G25" s="42"/>
      <c r="H25" s="42"/>
      <c r="I25" s="44"/>
      <c r="J25" s="42"/>
      <c r="K25" s="44"/>
      <c r="L25" s="46"/>
      <c r="M25" s="42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4">
        <f ca="1">COUNTIF(派生元項目KEY,A25)</f>
        <v>0</v>
      </c>
      <c r="Q25" s="34">
        <f ca="1">COUNTIF(区分値項目KEY,A25)</f>
        <v>0</v>
      </c>
    </row>
    <row r="26" spans="1:17" ht="15" x14ac:dyDescent="0.55000000000000004">
      <c r="A26" s="42"/>
      <c r="B26" s="42"/>
      <c r="C26" s="26" t="str">
        <f t="shared" si="0"/>
        <v/>
      </c>
      <c r="D26" s="42"/>
      <c r="E26" s="42"/>
      <c r="F26" s="42"/>
      <c r="G26" s="42"/>
      <c r="H26" s="42"/>
      <c r="I26" s="44"/>
      <c r="J26" s="42"/>
      <c r="K26" s="44"/>
      <c r="L26" s="46"/>
      <c r="M26" s="42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4">
        <f ca="1">COUNTIF(派生元項目KEY,A26)</f>
        <v>0</v>
      </c>
      <c r="Q26" s="34">
        <f ca="1">COUNTIF(区分値項目KEY,A26)</f>
        <v>0</v>
      </c>
    </row>
    <row r="27" spans="1:17" ht="15" x14ac:dyDescent="0.55000000000000004">
      <c r="A27" s="42"/>
      <c r="B27" s="42"/>
      <c r="C27" s="26" t="str">
        <f t="shared" si="0"/>
        <v/>
      </c>
      <c r="D27" s="42"/>
      <c r="E27" s="42"/>
      <c r="F27" s="42"/>
      <c r="G27" s="42"/>
      <c r="H27" s="42"/>
      <c r="I27" s="44"/>
      <c r="J27" s="42"/>
      <c r="K27" s="44"/>
      <c r="L27" s="46"/>
      <c r="M27" s="42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4">
        <f ca="1">COUNTIF(派生元項目KEY,A27)</f>
        <v>0</v>
      </c>
      <c r="Q27" s="34">
        <f ca="1">COUNTIF(区分値項目KEY,A27)</f>
        <v>0</v>
      </c>
    </row>
    <row r="28" spans="1:17" ht="15" x14ac:dyDescent="0.55000000000000004">
      <c r="A28" s="42"/>
      <c r="B28" s="42"/>
      <c r="C28" s="26" t="str">
        <f t="shared" si="0"/>
        <v/>
      </c>
      <c r="D28" s="42"/>
      <c r="E28" s="42"/>
      <c r="F28" s="42"/>
      <c r="G28" s="42"/>
      <c r="H28" s="42"/>
      <c r="I28" s="44"/>
      <c r="J28" s="42"/>
      <c r="K28" s="44"/>
      <c r="L28" s="46"/>
      <c r="M28" s="42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4">
        <f ca="1">COUNTIF(派生元項目KEY,A28)</f>
        <v>0</v>
      </c>
      <c r="Q28" s="34">
        <f ca="1">COUNTIF(区分値項目KEY,A28)</f>
        <v>0</v>
      </c>
    </row>
    <row r="29" spans="1:17" ht="15" x14ac:dyDescent="0.55000000000000004">
      <c r="A29" s="42"/>
      <c r="B29" s="42"/>
      <c r="C29" s="26" t="str">
        <f t="shared" si="0"/>
        <v/>
      </c>
      <c r="D29" s="42"/>
      <c r="E29" s="42"/>
      <c r="F29" s="42"/>
      <c r="G29" s="42"/>
      <c r="H29" s="42"/>
      <c r="I29" s="44"/>
      <c r="J29" s="42"/>
      <c r="K29" s="44"/>
      <c r="L29" s="46"/>
      <c r="M29" s="42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4">
        <f ca="1">COUNTIF(派生元項目KEY,A29)</f>
        <v>0</v>
      </c>
      <c r="Q29" s="34">
        <f ca="1">COUNTIF(区分値項目KEY,A29)</f>
        <v>0</v>
      </c>
    </row>
    <row r="30" spans="1:17" ht="15" x14ac:dyDescent="0.55000000000000004">
      <c r="A30" s="42"/>
      <c r="B30" s="42"/>
      <c r="C30" s="26" t="str">
        <f t="shared" si="0"/>
        <v/>
      </c>
      <c r="D30" s="42"/>
      <c r="E30" s="42"/>
      <c r="F30" s="42"/>
      <c r="G30" s="42"/>
      <c r="H30" s="42"/>
      <c r="I30" s="44"/>
      <c r="J30" s="42"/>
      <c r="K30" s="44"/>
      <c r="L30" s="46"/>
      <c r="M30" s="42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4">
        <f ca="1">COUNTIF(派生元項目KEY,A30)</f>
        <v>0</v>
      </c>
      <c r="Q30" s="34">
        <f ca="1">COUNTIF(区分値項目KEY,A30)</f>
        <v>0</v>
      </c>
    </row>
    <row r="31" spans="1:17" ht="15" x14ac:dyDescent="0.55000000000000004">
      <c r="A31" s="42"/>
      <c r="B31" s="42"/>
      <c r="C31" s="26" t="str">
        <f t="shared" si="0"/>
        <v/>
      </c>
      <c r="D31" s="42"/>
      <c r="E31" s="42"/>
      <c r="F31" s="42"/>
      <c r="G31" s="42"/>
      <c r="H31" s="42"/>
      <c r="I31" s="44"/>
      <c r="J31" s="42"/>
      <c r="K31" s="44"/>
      <c r="L31" s="46"/>
      <c r="M31" s="42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4">
        <f ca="1">COUNTIF(派生元項目KEY,A31)</f>
        <v>0</v>
      </c>
      <c r="Q31" s="34">
        <f ca="1">COUNTIF(区分値項目KEY,A31)</f>
        <v>0</v>
      </c>
    </row>
    <row r="32" spans="1:17" ht="15" x14ac:dyDescent="0.55000000000000004">
      <c r="A32" s="42"/>
      <c r="B32" s="42"/>
      <c r="C32" s="26" t="str">
        <f t="shared" si="0"/>
        <v/>
      </c>
      <c r="D32" s="42"/>
      <c r="E32" s="42"/>
      <c r="F32" s="42"/>
      <c r="G32" s="42"/>
      <c r="H32" s="42"/>
      <c r="I32" s="44"/>
      <c r="J32" s="42"/>
      <c r="K32" s="44"/>
      <c r="L32" s="46"/>
      <c r="M32" s="42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4">
        <f ca="1">COUNTIF(派生元項目KEY,A32)</f>
        <v>0</v>
      </c>
      <c r="Q32" s="34">
        <f ca="1">COUNTIF(区分値項目KEY,A32)</f>
        <v>0</v>
      </c>
    </row>
    <row r="33" spans="1:17" ht="15" x14ac:dyDescent="0.55000000000000004">
      <c r="A33" s="42"/>
      <c r="B33" s="42"/>
      <c r="C33" s="26" t="str">
        <f t="shared" si="0"/>
        <v/>
      </c>
      <c r="D33" s="42"/>
      <c r="E33" s="42"/>
      <c r="F33" s="42"/>
      <c r="G33" s="42"/>
      <c r="H33" s="42"/>
      <c r="I33" s="44"/>
      <c r="J33" s="42"/>
      <c r="K33" s="44"/>
      <c r="L33" s="46"/>
      <c r="M33" s="42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4">
        <f ca="1">COUNTIF(派生元項目KEY,A33)</f>
        <v>0</v>
      </c>
      <c r="Q33" s="34">
        <f ca="1">COUNTIF(区分値項目KEY,A33)</f>
        <v>0</v>
      </c>
    </row>
    <row r="34" spans="1:17" ht="15" x14ac:dyDescent="0.55000000000000004">
      <c r="A34" s="42"/>
      <c r="B34" s="42"/>
      <c r="C34" s="26" t="str">
        <f t="shared" ref="C34:C65" si="1">camel2snake(B34)</f>
        <v/>
      </c>
      <c r="D34" s="42"/>
      <c r="E34" s="42"/>
      <c r="F34" s="42"/>
      <c r="G34" s="42"/>
      <c r="H34" s="42"/>
      <c r="I34" s="44"/>
      <c r="J34" s="42"/>
      <c r="K34" s="44"/>
      <c r="L34" s="46"/>
      <c r="M34" s="42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4">
        <f ca="1">COUNTIF(派生元項目KEY,A34)</f>
        <v>0</v>
      </c>
      <c r="Q34" s="34">
        <f ca="1">COUNTIF(区分値項目KEY,A34)</f>
        <v>0</v>
      </c>
    </row>
    <row r="35" spans="1:17" ht="15" x14ac:dyDescent="0.55000000000000004">
      <c r="A35" s="42"/>
      <c r="B35" s="42"/>
      <c r="C35" s="26" t="str">
        <f t="shared" si="1"/>
        <v/>
      </c>
      <c r="D35" s="42"/>
      <c r="E35" s="42"/>
      <c r="F35" s="42"/>
      <c r="G35" s="42"/>
      <c r="H35" s="42"/>
      <c r="I35" s="44"/>
      <c r="J35" s="42"/>
      <c r="K35" s="44"/>
      <c r="L35" s="46"/>
      <c r="M35" s="42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4">
        <f ca="1">COUNTIF(派生元項目KEY,A35)</f>
        <v>0</v>
      </c>
      <c r="Q35" s="34">
        <f ca="1">COUNTIF(区分値項目KEY,A35)</f>
        <v>0</v>
      </c>
    </row>
    <row r="36" spans="1:17" ht="15" x14ac:dyDescent="0.55000000000000004">
      <c r="A36" s="42"/>
      <c r="B36" s="42"/>
      <c r="C36" s="26" t="str">
        <f t="shared" si="1"/>
        <v/>
      </c>
      <c r="D36" s="42"/>
      <c r="E36" s="42"/>
      <c r="F36" s="42"/>
      <c r="G36" s="42"/>
      <c r="H36" s="42"/>
      <c r="I36" s="44"/>
      <c r="J36" s="42"/>
      <c r="K36" s="44"/>
      <c r="L36" s="46"/>
      <c r="M36" s="42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4">
        <f ca="1">COUNTIF(派生元項目KEY,A36)</f>
        <v>0</v>
      </c>
      <c r="Q36" s="34">
        <f ca="1">COUNTIF(区分値項目KEY,A36)</f>
        <v>0</v>
      </c>
    </row>
    <row r="37" spans="1:17" ht="15" x14ac:dyDescent="0.55000000000000004">
      <c r="A37" s="42"/>
      <c r="B37" s="42"/>
      <c r="C37" s="26" t="str">
        <f t="shared" si="1"/>
        <v/>
      </c>
      <c r="D37" s="42"/>
      <c r="E37" s="42"/>
      <c r="F37" s="42"/>
      <c r="G37" s="42"/>
      <c r="H37" s="42"/>
      <c r="I37" s="44"/>
      <c r="J37" s="42"/>
      <c r="K37" s="44"/>
      <c r="L37" s="46"/>
      <c r="M37" s="42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4">
        <f ca="1">COUNTIF(派生元項目KEY,A37)</f>
        <v>0</v>
      </c>
      <c r="Q37" s="34">
        <f ca="1">COUNTIF(区分値項目KEY,A37)</f>
        <v>0</v>
      </c>
    </row>
    <row r="38" spans="1:17" ht="15" x14ac:dyDescent="0.55000000000000004">
      <c r="A38" s="42"/>
      <c r="B38" s="42"/>
      <c r="C38" s="26" t="str">
        <f t="shared" si="1"/>
        <v/>
      </c>
      <c r="D38" s="42"/>
      <c r="E38" s="42"/>
      <c r="F38" s="42"/>
      <c r="G38" s="42"/>
      <c r="H38" s="42"/>
      <c r="I38" s="44"/>
      <c r="J38" s="42"/>
      <c r="K38" s="44"/>
      <c r="L38" s="46"/>
      <c r="M38" s="42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4">
        <f ca="1">COUNTIF(派生元項目KEY,A38)</f>
        <v>0</v>
      </c>
      <c r="Q38" s="34">
        <f ca="1">COUNTIF(区分値項目KEY,A38)</f>
        <v>0</v>
      </c>
    </row>
    <row r="39" spans="1:17" ht="15" x14ac:dyDescent="0.55000000000000004">
      <c r="A39" s="42"/>
      <c r="B39" s="42"/>
      <c r="C39" s="26" t="str">
        <f t="shared" si="1"/>
        <v/>
      </c>
      <c r="D39" s="42"/>
      <c r="E39" s="42"/>
      <c r="F39" s="42"/>
      <c r="G39" s="42"/>
      <c r="H39" s="42"/>
      <c r="I39" s="44"/>
      <c r="J39" s="42"/>
      <c r="K39" s="44"/>
      <c r="L39" s="46"/>
      <c r="M39" s="42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4">
        <f ca="1">COUNTIF(派生元項目KEY,A39)</f>
        <v>0</v>
      </c>
      <c r="Q39" s="34">
        <f ca="1">COUNTIF(区分値項目KEY,A39)</f>
        <v>0</v>
      </c>
    </row>
    <row r="40" spans="1:17" ht="15" x14ac:dyDescent="0.55000000000000004">
      <c r="A40" s="42"/>
      <c r="B40" s="42"/>
      <c r="C40" s="26" t="str">
        <f t="shared" si="1"/>
        <v/>
      </c>
      <c r="D40" s="42"/>
      <c r="E40" s="42"/>
      <c r="F40" s="42"/>
      <c r="G40" s="42"/>
      <c r="H40" s="42"/>
      <c r="I40" s="44"/>
      <c r="J40" s="42"/>
      <c r="K40" s="44"/>
      <c r="L40" s="46"/>
      <c r="M40" s="42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4">
        <f ca="1">COUNTIF(派生元項目KEY,A40)</f>
        <v>0</v>
      </c>
      <c r="Q40" s="34">
        <f ca="1">COUNTIF(区分値項目KEY,A40)</f>
        <v>0</v>
      </c>
    </row>
    <row r="41" spans="1:17" ht="15" x14ac:dyDescent="0.55000000000000004">
      <c r="A41" s="42"/>
      <c r="B41" s="42"/>
      <c r="C41" s="26" t="str">
        <f t="shared" si="1"/>
        <v/>
      </c>
      <c r="D41" s="42"/>
      <c r="E41" s="42"/>
      <c r="F41" s="42"/>
      <c r="G41" s="42"/>
      <c r="H41" s="42"/>
      <c r="I41" s="44"/>
      <c r="J41" s="42"/>
      <c r="K41" s="44"/>
      <c r="L41" s="46"/>
      <c r="M41" s="42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4">
        <f ca="1">COUNTIF(派生元項目KEY,A41)</f>
        <v>0</v>
      </c>
      <c r="Q41" s="34">
        <f ca="1">COUNTIF(区分値項目KEY,A41)</f>
        <v>0</v>
      </c>
    </row>
    <row r="42" spans="1:17" ht="15" x14ac:dyDescent="0.55000000000000004">
      <c r="A42" s="42"/>
      <c r="B42" s="42"/>
      <c r="C42" s="26" t="str">
        <f t="shared" si="1"/>
        <v/>
      </c>
      <c r="D42" s="42"/>
      <c r="E42" s="42"/>
      <c r="F42" s="42"/>
      <c r="G42" s="42"/>
      <c r="H42" s="42"/>
      <c r="I42" s="44"/>
      <c r="J42" s="42"/>
      <c r="K42" s="44"/>
      <c r="L42" s="46"/>
      <c r="M42" s="42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4">
        <f ca="1">COUNTIF(派生元項目KEY,A42)</f>
        <v>0</v>
      </c>
      <c r="Q42" s="34">
        <f ca="1">COUNTIF(区分値項目KEY,A42)</f>
        <v>0</v>
      </c>
    </row>
    <row r="43" spans="1:17" ht="15" x14ac:dyDescent="0.55000000000000004">
      <c r="A43" s="42"/>
      <c r="B43" s="42"/>
      <c r="C43" s="26" t="str">
        <f t="shared" si="1"/>
        <v/>
      </c>
      <c r="D43" s="42"/>
      <c r="E43" s="42"/>
      <c r="F43" s="42"/>
      <c r="G43" s="42"/>
      <c r="H43" s="42"/>
      <c r="I43" s="44"/>
      <c r="J43" s="42"/>
      <c r="K43" s="44"/>
      <c r="L43" s="46"/>
      <c r="M43" s="42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4">
        <f ca="1">COUNTIF(派生元項目KEY,A43)</f>
        <v>0</v>
      </c>
      <c r="Q43" s="34">
        <f ca="1">COUNTIF(区分値項目KEY,A43)</f>
        <v>0</v>
      </c>
    </row>
    <row r="44" spans="1:17" ht="15" x14ac:dyDescent="0.55000000000000004">
      <c r="A44" s="42"/>
      <c r="B44" s="42"/>
      <c r="C44" s="26" t="str">
        <f t="shared" si="1"/>
        <v/>
      </c>
      <c r="D44" s="42"/>
      <c r="E44" s="42"/>
      <c r="F44" s="42"/>
      <c r="G44" s="42"/>
      <c r="H44" s="42"/>
      <c r="I44" s="44"/>
      <c r="J44" s="42"/>
      <c r="K44" s="44"/>
      <c r="L44" s="46"/>
      <c r="M44" s="42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4">
        <f ca="1">COUNTIF(派生元項目KEY,A44)</f>
        <v>0</v>
      </c>
      <c r="Q44" s="34">
        <f ca="1">COUNTIF(区分値項目KEY,A44)</f>
        <v>0</v>
      </c>
    </row>
    <row r="45" spans="1:17" ht="15" x14ac:dyDescent="0.55000000000000004">
      <c r="A45" s="42"/>
      <c r="B45" s="42"/>
      <c r="C45" s="26" t="str">
        <f t="shared" si="1"/>
        <v/>
      </c>
      <c r="D45" s="42"/>
      <c r="E45" s="42"/>
      <c r="F45" s="42"/>
      <c r="G45" s="42"/>
      <c r="H45" s="42"/>
      <c r="I45" s="44"/>
      <c r="J45" s="42"/>
      <c r="K45" s="44"/>
      <c r="L45" s="46"/>
      <c r="M45" s="42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4">
        <f ca="1">COUNTIF(派生元項目KEY,A45)</f>
        <v>0</v>
      </c>
      <c r="Q45" s="34">
        <f ca="1">COUNTIF(区分値項目KEY,A45)</f>
        <v>0</v>
      </c>
    </row>
    <row r="46" spans="1:17" ht="15" x14ac:dyDescent="0.55000000000000004">
      <c r="A46" s="42"/>
      <c r="B46" s="42"/>
      <c r="C46" s="26" t="str">
        <f t="shared" si="1"/>
        <v/>
      </c>
      <c r="D46" s="42"/>
      <c r="E46" s="42"/>
      <c r="F46" s="42"/>
      <c r="G46" s="42"/>
      <c r="H46" s="42"/>
      <c r="I46" s="44"/>
      <c r="J46" s="42"/>
      <c r="K46" s="44"/>
      <c r="L46" s="46"/>
      <c r="M46" s="42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4">
        <f ca="1">COUNTIF(派生元項目KEY,A46)</f>
        <v>0</v>
      </c>
      <c r="Q46" s="34">
        <f ca="1">COUNTIF(区分値項目KEY,A46)</f>
        <v>0</v>
      </c>
    </row>
    <row r="47" spans="1:17" ht="15" x14ac:dyDescent="0.55000000000000004">
      <c r="A47" s="42"/>
      <c r="B47" s="42"/>
      <c r="C47" s="26" t="str">
        <f t="shared" si="1"/>
        <v/>
      </c>
      <c r="D47" s="42"/>
      <c r="E47" s="42"/>
      <c r="F47" s="42"/>
      <c r="G47" s="42"/>
      <c r="H47" s="42"/>
      <c r="I47" s="44"/>
      <c r="J47" s="42"/>
      <c r="K47" s="44"/>
      <c r="L47" s="46"/>
      <c r="M47" s="42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4">
        <f ca="1">COUNTIF(派生元項目KEY,A47)</f>
        <v>0</v>
      </c>
      <c r="Q47" s="34">
        <f ca="1">COUNTIF(区分値項目KEY,A47)</f>
        <v>0</v>
      </c>
    </row>
    <row r="48" spans="1:17" ht="15" x14ac:dyDescent="0.55000000000000004">
      <c r="A48" s="42"/>
      <c r="B48" s="42"/>
      <c r="C48" s="26" t="str">
        <f t="shared" si="1"/>
        <v/>
      </c>
      <c r="D48" s="42"/>
      <c r="E48" s="42"/>
      <c r="F48" s="42"/>
      <c r="G48" s="42"/>
      <c r="H48" s="42"/>
      <c r="I48" s="44"/>
      <c r="J48" s="42"/>
      <c r="K48" s="44"/>
      <c r="L48" s="46"/>
      <c r="M48" s="42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4">
        <f ca="1">COUNTIF(派生元項目KEY,A48)</f>
        <v>0</v>
      </c>
      <c r="Q48" s="34">
        <f ca="1">COUNTIF(区分値項目KEY,A48)</f>
        <v>0</v>
      </c>
    </row>
    <row r="49" spans="1:17" ht="15" x14ac:dyDescent="0.55000000000000004">
      <c r="A49" s="42"/>
      <c r="B49" s="42"/>
      <c r="C49" s="26" t="str">
        <f t="shared" si="1"/>
        <v/>
      </c>
      <c r="D49" s="42"/>
      <c r="E49" s="42"/>
      <c r="F49" s="42"/>
      <c r="G49" s="42"/>
      <c r="H49" s="42"/>
      <c r="I49" s="44"/>
      <c r="J49" s="42"/>
      <c r="K49" s="44"/>
      <c r="L49" s="46"/>
      <c r="M49" s="42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4">
        <f ca="1">COUNTIF(派生元項目KEY,A49)</f>
        <v>0</v>
      </c>
      <c r="Q49" s="34">
        <f ca="1">COUNTIF(区分値項目KEY,A49)</f>
        <v>0</v>
      </c>
    </row>
    <row r="50" spans="1:17" ht="15" x14ac:dyDescent="0.55000000000000004">
      <c r="A50" s="42"/>
      <c r="B50" s="42"/>
      <c r="C50" s="26" t="str">
        <f t="shared" si="1"/>
        <v/>
      </c>
      <c r="D50" s="42"/>
      <c r="E50" s="42"/>
      <c r="F50" s="42"/>
      <c r="G50" s="42"/>
      <c r="H50" s="42"/>
      <c r="I50" s="44"/>
      <c r="J50" s="42"/>
      <c r="K50" s="44"/>
      <c r="L50" s="46"/>
      <c r="M50" s="42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4">
        <f ca="1">COUNTIF(派生元項目KEY,A50)</f>
        <v>0</v>
      </c>
      <c r="Q50" s="34">
        <f ca="1">COUNTIF(区分値項目KEY,A50)</f>
        <v>0</v>
      </c>
    </row>
    <row r="51" spans="1:17" ht="15" x14ac:dyDescent="0.55000000000000004">
      <c r="A51" s="42"/>
      <c r="B51" s="42"/>
      <c r="C51" s="26" t="str">
        <f t="shared" si="1"/>
        <v/>
      </c>
      <c r="D51" s="42"/>
      <c r="E51" s="42"/>
      <c r="F51" s="42"/>
      <c r="G51" s="42"/>
      <c r="H51" s="42"/>
      <c r="I51" s="44"/>
      <c r="J51" s="42"/>
      <c r="K51" s="44"/>
      <c r="L51" s="46"/>
      <c r="M51" s="42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4">
        <f ca="1">COUNTIF(派生元項目KEY,A51)</f>
        <v>0</v>
      </c>
      <c r="Q51" s="34">
        <f ca="1">COUNTIF(区分値項目KEY,A51)</f>
        <v>0</v>
      </c>
    </row>
    <row r="52" spans="1:17" ht="15" x14ac:dyDescent="0.55000000000000004">
      <c r="A52" s="42"/>
      <c r="B52" s="42"/>
      <c r="C52" s="26" t="str">
        <f t="shared" si="1"/>
        <v/>
      </c>
      <c r="D52" s="42"/>
      <c r="E52" s="42"/>
      <c r="F52" s="42"/>
      <c r="G52" s="42"/>
      <c r="H52" s="42"/>
      <c r="I52" s="44"/>
      <c r="J52" s="42"/>
      <c r="K52" s="44"/>
      <c r="L52" s="46"/>
      <c r="M52" s="42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4">
        <f ca="1">COUNTIF(派生元項目KEY,A52)</f>
        <v>0</v>
      </c>
      <c r="Q52" s="34">
        <f ca="1">COUNTIF(区分値項目KEY,A52)</f>
        <v>0</v>
      </c>
    </row>
    <row r="53" spans="1:17" ht="15" x14ac:dyDescent="0.55000000000000004">
      <c r="A53" s="42"/>
      <c r="B53" s="42"/>
      <c r="C53" s="26" t="str">
        <f t="shared" si="1"/>
        <v/>
      </c>
      <c r="D53" s="42"/>
      <c r="E53" s="42"/>
      <c r="F53" s="42"/>
      <c r="G53" s="42"/>
      <c r="H53" s="42"/>
      <c r="I53" s="44"/>
      <c r="J53" s="42"/>
      <c r="K53" s="44"/>
      <c r="L53" s="46"/>
      <c r="M53" s="42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4">
        <f ca="1">COUNTIF(派生元項目KEY,A53)</f>
        <v>0</v>
      </c>
      <c r="Q53" s="34">
        <f ca="1">COUNTIF(区分値項目KEY,A53)</f>
        <v>0</v>
      </c>
    </row>
    <row r="54" spans="1:17" ht="15" x14ac:dyDescent="0.55000000000000004">
      <c r="A54" s="43"/>
      <c r="B54" s="43"/>
      <c r="C54" s="27" t="str">
        <f t="shared" si="1"/>
        <v/>
      </c>
      <c r="D54" s="43"/>
      <c r="E54" s="43"/>
      <c r="F54" s="43"/>
      <c r="G54" s="43"/>
      <c r="H54" s="43"/>
      <c r="I54" s="45"/>
      <c r="J54" s="43"/>
      <c r="K54" s="45"/>
      <c r="L54" s="47"/>
      <c r="M54" s="43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9">
        <f ca="1">COUNTIF(派生元項目KEY,A54)</f>
        <v>0</v>
      </c>
      <c r="Q54" s="39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</sheetData>
  <mergeCells count="2">
    <mergeCell ref="H1:I1"/>
    <mergeCell ref="J1:K1"/>
  </mergeCells>
  <phoneticPr fontId="1"/>
  <conditionalFormatting sqref="B2:B54 D2:D54 L2:M54">
    <cfRule type="expression" dxfId="7" priority="1" stopIfTrue="1">
      <formula>AND($A2&lt;&gt;"",B2="")</formula>
    </cfRule>
  </conditionalFormatting>
  <conditionalFormatting sqref="E22">
    <cfRule type="containsBlanks" dxfId="6" priority="2" stopIfTrue="1">
      <formula>LEN(TRIM(E22))=0</formula>
    </cfRule>
  </conditionalFormatting>
  <conditionalFormatting sqref="F2:G2 F12:G12 G14 F15:G15 G16 F17:G17 G18">
    <cfRule type="containsBlanks" dxfId="5" priority="3" stopIfTrue="1">
      <formula>LEN(TRIM(F2))=0</formula>
    </cfRule>
  </conditionalFormatting>
  <conditionalFormatting sqref="H3:H4 J3:J4 H11 J11 H20 J20">
    <cfRule type="containsBlanks" dxfId="4" priority="4" stopIfTrue="1">
      <formula>LEN(TRIM(H3))=0</formula>
    </cfRule>
  </conditionalFormatting>
  <dataValidations count="12">
    <dataValidation imeMode="on" allowBlank="1" showInputMessage="1" showErrorMessage="1" sqref="M1312:M1048576 A1 M1 A1312:A1048576" xr:uid="{82371562-DA48-418A-B9E1-F875CA10CC30}"/>
    <dataValidation imeMode="off" allowBlank="1" showInputMessage="1" showErrorMessage="1" sqref="E1:H1 L1 J1 E1312:L1048576 B1 B1312:B1048576" xr:uid="{A44170C6-B920-46F2-AEA3-D4E9954343F7}"/>
    <dataValidation type="list" allowBlank="1" showInputMessage="1" showErrorMessage="1" sqref="D2:D54" xr:uid="{6091F766-549A-4FBC-838C-8FA76185EF42}">
      <formula1>ドメインタイプKEY</formula1>
    </dataValidation>
    <dataValidation imeMode="on" allowBlank="1" showInputMessage="1" showErrorMessage="1" sqref="A2:A54 M2:M54" xr:uid="{1534E982-B0B0-4260-93A6-780F9FEE7DD2}"/>
    <dataValidation imeMode="off" allowBlank="1" showInputMessage="1" showErrorMessage="1" sqref="B2:B54" xr:uid="{D9215A24-6300-4B47-B8AA-5841310D787A}"/>
    <dataValidation imeMode="off" allowBlank="1" showInputMessage="1" showErrorMessage="1" sqref="E22" xr:uid="{6EDE6FB3-3113-45CA-8D74-F3D4EA88B6BF}"/>
    <dataValidation imeMode="off" allowBlank="1" showInputMessage="1" showErrorMessage="1" sqref="E7 E14 E16 E18" xr:uid="{3ED58F27-DDB0-4E38-B84A-F1AA0AD65174}"/>
    <dataValidation type="whole" imeMode="off" allowBlank="1" showInputMessage="1" showErrorMessage="1" error="0-1000の間で入力可能" sqref="F2:G2 F12:G12 G14 F15:G15 G16 F17:G17 G18" xr:uid="{6C33D83A-0ED2-4297-A6D2-C3EDD1731988}">
      <formula1>0</formula1>
      <formula2>1000</formula2>
    </dataValidation>
    <dataValidation type="whole" imeMode="off" allowBlank="1" showInputMessage="1" showErrorMessage="1" error="0-1000の間で入力可能" sqref="F6:F7 F9 F14 F16 F18 F24" xr:uid="{9DDFEDEF-CC63-4E22-A0AE-13B20113CF97}">
      <formula1>0</formula1>
      <formula2>1000</formula2>
    </dataValidation>
    <dataValidation type="whole" imeMode="off" allowBlank="1" showInputMessage="1" showErrorMessage="1" error="数値のみ入力可能" sqref="H3:H4 J3:J4 H11 J11 H20 J20" xr:uid="{F7AB1B4E-B20D-4371-A8AB-FC647A03FB5C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475620ED-169E-488B-A950-74CF0BF8757F}">
      <formula1>"1"</formula1>
    </dataValidation>
    <dataValidation type="textLength" imeMode="off" operator="equal" allowBlank="1" showInputMessage="1" showErrorMessage="1" error="入力不可項目です" sqref="H2:K2 F3:G5 E2:E6 H5:K6 G7:K7 E8:K8 H9:K9 F10:K10 F11:G11 H12:K12 E9:E13 F13:K13 E15 E17 H14:K18 E19:K19 E20:G21 H21:K21 F22:K22 E23:K23 E24 H24:K24" xr:uid="{AE0B4E63-3DA6-40F4-BD37-84F1FA07E857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326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80</v>
      </c>
      <c r="B1" s="28" t="s">
        <v>79</v>
      </c>
      <c r="C1" s="19" t="s">
        <v>72</v>
      </c>
      <c r="D1" s="19" t="s">
        <v>73</v>
      </c>
      <c r="E1" s="22" t="s">
        <v>6</v>
      </c>
    </row>
    <row r="2" spans="1:5" x14ac:dyDescent="0.55000000000000004">
      <c r="A2" s="42" t="s">
        <v>91</v>
      </c>
      <c r="B2" s="42" t="s">
        <v>103</v>
      </c>
      <c r="C2" s="42" t="s">
        <v>120</v>
      </c>
      <c r="D2" s="26" t="str">
        <f t="shared" ref="D2:D35" si="0">camel2snake(C2)</f>
        <v>campane_price</v>
      </c>
      <c r="E2" s="42" t="s">
        <v>104</v>
      </c>
    </row>
    <row r="3" spans="1:5" x14ac:dyDescent="0.55000000000000004">
      <c r="A3" s="42" t="s">
        <v>156</v>
      </c>
      <c r="B3" s="42" t="s">
        <v>169</v>
      </c>
      <c r="C3" s="42" t="s">
        <v>170</v>
      </c>
      <c r="D3" s="26" t="str">
        <f t="shared" si="0"/>
        <v>order_pic</v>
      </c>
      <c r="E3" s="42" t="s">
        <v>172</v>
      </c>
    </row>
    <row r="4" spans="1:5" x14ac:dyDescent="0.55000000000000004">
      <c r="A4" s="42" t="s">
        <v>156</v>
      </c>
      <c r="B4" s="42" t="s">
        <v>171</v>
      </c>
      <c r="C4" s="42" t="s">
        <v>216</v>
      </c>
      <c r="D4" s="26" t="str">
        <f t="shared" si="0"/>
        <v>product_pic</v>
      </c>
      <c r="E4" s="42" t="s">
        <v>173</v>
      </c>
    </row>
    <row r="5" spans="1:5" x14ac:dyDescent="0.55000000000000004">
      <c r="A5" s="42" t="s">
        <v>149</v>
      </c>
      <c r="B5" s="42" t="s">
        <v>217</v>
      </c>
      <c r="C5" s="42" t="s">
        <v>218</v>
      </c>
      <c r="D5" s="26" t="str">
        <f t="shared" si="0"/>
        <v>salese_department</v>
      </c>
      <c r="E5" s="42" t="s">
        <v>217</v>
      </c>
    </row>
    <row r="6" spans="1:5" x14ac:dyDescent="0.55000000000000004">
      <c r="A6" s="42"/>
      <c r="B6" s="42"/>
      <c r="C6" s="42"/>
      <c r="D6" s="26" t="str">
        <f t="shared" si="0"/>
        <v/>
      </c>
      <c r="E6" s="42"/>
    </row>
    <row r="7" spans="1:5" x14ac:dyDescent="0.55000000000000004">
      <c r="A7" s="42"/>
      <c r="B7" s="42"/>
      <c r="C7" s="42"/>
      <c r="D7" s="26" t="str">
        <f t="shared" si="0"/>
        <v/>
      </c>
      <c r="E7" s="42"/>
    </row>
    <row r="8" spans="1:5" x14ac:dyDescent="0.55000000000000004">
      <c r="A8" s="42"/>
      <c r="B8" s="42"/>
      <c r="C8" s="42"/>
      <c r="D8" s="26" t="str">
        <f t="shared" si="0"/>
        <v/>
      </c>
      <c r="E8" s="42"/>
    </row>
    <row r="9" spans="1:5" x14ac:dyDescent="0.55000000000000004">
      <c r="A9" s="42"/>
      <c r="B9" s="42"/>
      <c r="C9" s="42"/>
      <c r="D9" s="26" t="str">
        <f t="shared" si="0"/>
        <v/>
      </c>
      <c r="E9" s="42"/>
    </row>
    <row r="10" spans="1:5" x14ac:dyDescent="0.55000000000000004">
      <c r="A10" s="42"/>
      <c r="B10" s="42"/>
      <c r="C10" s="42"/>
      <c r="D10" s="26" t="str">
        <f t="shared" si="0"/>
        <v/>
      </c>
      <c r="E10" s="42"/>
    </row>
    <row r="11" spans="1:5" x14ac:dyDescent="0.55000000000000004">
      <c r="A11" s="42"/>
      <c r="B11" s="42"/>
      <c r="C11" s="42"/>
      <c r="D11" s="26" t="str">
        <f t="shared" si="0"/>
        <v/>
      </c>
      <c r="E11" s="42"/>
    </row>
    <row r="12" spans="1:5" x14ac:dyDescent="0.55000000000000004">
      <c r="A12" s="42"/>
      <c r="B12" s="42"/>
      <c r="C12" s="42"/>
      <c r="D12" s="26" t="str">
        <f t="shared" si="0"/>
        <v/>
      </c>
      <c r="E12" s="42"/>
    </row>
    <row r="13" spans="1:5" x14ac:dyDescent="0.55000000000000004">
      <c r="A13" s="42"/>
      <c r="B13" s="42"/>
      <c r="C13" s="42"/>
      <c r="D13" s="26" t="str">
        <f t="shared" si="0"/>
        <v/>
      </c>
      <c r="E13" s="42"/>
    </row>
    <row r="14" spans="1:5" x14ac:dyDescent="0.55000000000000004">
      <c r="A14" s="42"/>
      <c r="B14" s="42"/>
      <c r="C14" s="42"/>
      <c r="D14" s="26" t="str">
        <f t="shared" si="0"/>
        <v/>
      </c>
      <c r="E14" s="42"/>
    </row>
    <row r="15" spans="1:5" x14ac:dyDescent="0.55000000000000004">
      <c r="A15" s="42"/>
      <c r="B15" s="42"/>
      <c r="C15" s="42"/>
      <c r="D15" s="26" t="str">
        <f t="shared" si="0"/>
        <v/>
      </c>
      <c r="E15" s="42"/>
    </row>
    <row r="16" spans="1:5" x14ac:dyDescent="0.55000000000000004">
      <c r="A16" s="42"/>
      <c r="B16" s="42"/>
      <c r="C16" s="42"/>
      <c r="D16" s="26" t="str">
        <f t="shared" si="0"/>
        <v/>
      </c>
      <c r="E16" s="42"/>
    </row>
    <row r="17" spans="1:5" x14ac:dyDescent="0.55000000000000004">
      <c r="A17" s="42"/>
      <c r="B17" s="42"/>
      <c r="C17" s="42"/>
      <c r="D17" s="26" t="str">
        <f t="shared" si="0"/>
        <v/>
      </c>
      <c r="E17" s="42"/>
    </row>
    <row r="18" spans="1:5" x14ac:dyDescent="0.55000000000000004">
      <c r="A18" s="42"/>
      <c r="B18" s="42"/>
      <c r="C18" s="42"/>
      <c r="D18" s="26" t="str">
        <f t="shared" si="0"/>
        <v/>
      </c>
      <c r="E18" s="42"/>
    </row>
    <row r="19" spans="1:5" x14ac:dyDescent="0.55000000000000004">
      <c r="A19" s="42"/>
      <c r="B19" s="42"/>
      <c r="C19" s="42"/>
      <c r="D19" s="26" t="str">
        <f t="shared" si="0"/>
        <v/>
      </c>
      <c r="E19" s="42"/>
    </row>
    <row r="20" spans="1:5" x14ac:dyDescent="0.55000000000000004">
      <c r="A20" s="42"/>
      <c r="B20" s="42"/>
      <c r="C20" s="42"/>
      <c r="D20" s="26" t="str">
        <f t="shared" si="0"/>
        <v/>
      </c>
      <c r="E20" s="42"/>
    </row>
    <row r="21" spans="1:5" x14ac:dyDescent="0.55000000000000004">
      <c r="A21" s="42"/>
      <c r="B21" s="42"/>
      <c r="C21" s="42"/>
      <c r="D21" s="26" t="str">
        <f t="shared" si="0"/>
        <v/>
      </c>
      <c r="E21" s="42"/>
    </row>
    <row r="22" spans="1:5" x14ac:dyDescent="0.55000000000000004">
      <c r="A22" s="42"/>
      <c r="B22" s="42"/>
      <c r="C22" s="42"/>
      <c r="D22" s="26" t="str">
        <f t="shared" si="0"/>
        <v/>
      </c>
      <c r="E22" s="42"/>
    </row>
    <row r="23" spans="1:5" x14ac:dyDescent="0.55000000000000004">
      <c r="A23" s="42"/>
      <c r="B23" s="42"/>
      <c r="C23" s="42"/>
      <c r="D23" s="26" t="str">
        <f t="shared" si="0"/>
        <v/>
      </c>
      <c r="E23" s="42"/>
    </row>
    <row r="24" spans="1:5" x14ac:dyDescent="0.55000000000000004">
      <c r="A24" s="42"/>
      <c r="B24" s="42"/>
      <c r="C24" s="42"/>
      <c r="D24" s="26" t="str">
        <f t="shared" si="0"/>
        <v/>
      </c>
      <c r="E24" s="42"/>
    </row>
    <row r="25" spans="1:5" x14ac:dyDescent="0.55000000000000004">
      <c r="A25" s="42"/>
      <c r="B25" s="42"/>
      <c r="C25" s="42"/>
      <c r="D25" s="26" t="str">
        <f t="shared" si="0"/>
        <v/>
      </c>
      <c r="E25" s="42"/>
    </row>
    <row r="26" spans="1:5" x14ac:dyDescent="0.55000000000000004">
      <c r="A26" s="42"/>
      <c r="B26" s="42"/>
      <c r="C26" s="42"/>
      <c r="D26" s="26" t="str">
        <f t="shared" si="0"/>
        <v/>
      </c>
      <c r="E26" s="42"/>
    </row>
    <row r="27" spans="1:5" x14ac:dyDescent="0.55000000000000004">
      <c r="A27" s="42"/>
      <c r="B27" s="42"/>
      <c r="C27" s="42"/>
      <c r="D27" s="26" t="str">
        <f t="shared" si="0"/>
        <v/>
      </c>
      <c r="E27" s="42"/>
    </row>
    <row r="28" spans="1:5" x14ac:dyDescent="0.55000000000000004">
      <c r="A28" s="42"/>
      <c r="B28" s="42"/>
      <c r="C28" s="42"/>
      <c r="D28" s="26" t="str">
        <f t="shared" si="0"/>
        <v/>
      </c>
      <c r="E28" s="42"/>
    </row>
    <row r="29" spans="1:5" x14ac:dyDescent="0.55000000000000004">
      <c r="A29" s="42"/>
      <c r="B29" s="42"/>
      <c r="C29" s="42"/>
      <c r="D29" s="26" t="str">
        <f t="shared" si="0"/>
        <v/>
      </c>
      <c r="E29" s="42"/>
    </row>
    <row r="30" spans="1:5" x14ac:dyDescent="0.55000000000000004">
      <c r="A30" s="42"/>
      <c r="B30" s="42"/>
      <c r="C30" s="42"/>
      <c r="D30" s="26" t="str">
        <f t="shared" si="0"/>
        <v/>
      </c>
      <c r="E30" s="42"/>
    </row>
    <row r="31" spans="1:5" x14ac:dyDescent="0.55000000000000004">
      <c r="A31" s="42"/>
      <c r="B31" s="42"/>
      <c r="C31" s="42"/>
      <c r="D31" s="26" t="str">
        <f t="shared" si="0"/>
        <v/>
      </c>
      <c r="E31" s="42"/>
    </row>
    <row r="32" spans="1:5" x14ac:dyDescent="0.55000000000000004">
      <c r="A32" s="42"/>
      <c r="B32" s="42"/>
      <c r="C32" s="42"/>
      <c r="D32" s="26" t="str">
        <f t="shared" si="0"/>
        <v/>
      </c>
      <c r="E32" s="42"/>
    </row>
    <row r="33" spans="1:5" x14ac:dyDescent="0.55000000000000004">
      <c r="A33" s="42"/>
      <c r="B33" s="42"/>
      <c r="C33" s="42"/>
      <c r="D33" s="26" t="str">
        <f t="shared" si="0"/>
        <v/>
      </c>
      <c r="E33" s="42"/>
    </row>
    <row r="34" spans="1:5" x14ac:dyDescent="0.55000000000000004">
      <c r="A34" s="42"/>
      <c r="B34" s="42"/>
      <c r="C34" s="42"/>
      <c r="D34" s="26" t="str">
        <f t="shared" si="0"/>
        <v/>
      </c>
      <c r="E34" s="42"/>
    </row>
    <row r="35" spans="1:5" x14ac:dyDescent="0.55000000000000004">
      <c r="A35" s="43"/>
      <c r="B35" s="43"/>
      <c r="C35" s="43"/>
      <c r="D35" s="27" t="str">
        <f t="shared" si="0"/>
        <v/>
      </c>
      <c r="E35" s="43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B2:C35 E2:E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912CB547-282C-40B0-B0DC-20329C2A9D2D}"/>
    <dataValidation imeMode="off" allowBlank="1" showInputMessage="1" showErrorMessage="1" sqref="C2:C35" xr:uid="{8CEC8EA9-7150-47DE-93B9-0D62FB4E6919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448"/>
  <sheetViews>
    <sheetView showGridLines="0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85</v>
      </c>
      <c r="B1" s="31" t="s">
        <v>10</v>
      </c>
      <c r="C1" s="19" t="s">
        <v>140</v>
      </c>
      <c r="D1" s="22" t="s">
        <v>6</v>
      </c>
    </row>
    <row r="2" spans="1:4" x14ac:dyDescent="0.55000000000000004">
      <c r="A2" s="42" t="s">
        <v>105</v>
      </c>
      <c r="B2" s="42" t="s">
        <v>134</v>
      </c>
      <c r="C2" s="42" t="s">
        <v>109</v>
      </c>
      <c r="D2" s="42" t="s">
        <v>110</v>
      </c>
    </row>
    <row r="3" spans="1:4" x14ac:dyDescent="0.55000000000000004">
      <c r="A3" s="42" t="s">
        <v>105</v>
      </c>
      <c r="B3" s="42" t="s">
        <v>147</v>
      </c>
      <c r="C3" s="42" t="s">
        <v>108</v>
      </c>
      <c r="D3" s="42" t="s">
        <v>111</v>
      </c>
    </row>
    <row r="4" spans="1:4" x14ac:dyDescent="0.55000000000000004">
      <c r="A4" s="42" t="s">
        <v>105</v>
      </c>
      <c r="B4" s="42" t="s">
        <v>135</v>
      </c>
      <c r="C4" s="42" t="s">
        <v>112</v>
      </c>
      <c r="D4" s="42" t="s">
        <v>115</v>
      </c>
    </row>
    <row r="5" spans="1:4" x14ac:dyDescent="0.55000000000000004">
      <c r="A5" s="42" t="s">
        <v>105</v>
      </c>
      <c r="B5" s="42" t="s">
        <v>137</v>
      </c>
      <c r="C5" s="42" t="s">
        <v>113</v>
      </c>
      <c r="D5" s="42" t="s">
        <v>114</v>
      </c>
    </row>
    <row r="6" spans="1:4" x14ac:dyDescent="0.55000000000000004">
      <c r="A6" s="42" t="s">
        <v>149</v>
      </c>
      <c r="B6" s="42" t="s">
        <v>174</v>
      </c>
      <c r="C6" s="42" t="s">
        <v>175</v>
      </c>
      <c r="D6" s="42" t="s">
        <v>176</v>
      </c>
    </row>
    <row r="7" spans="1:4" x14ac:dyDescent="0.55000000000000004">
      <c r="A7" s="42" t="s">
        <v>149</v>
      </c>
      <c r="B7" s="42" t="s">
        <v>177</v>
      </c>
      <c r="C7" s="42" t="s">
        <v>178</v>
      </c>
      <c r="D7" s="42" t="s">
        <v>179</v>
      </c>
    </row>
    <row r="8" spans="1:4" x14ac:dyDescent="0.55000000000000004">
      <c r="A8" s="42" t="s">
        <v>149</v>
      </c>
      <c r="B8" s="42" t="s">
        <v>180</v>
      </c>
      <c r="C8" s="42" t="s">
        <v>181</v>
      </c>
      <c r="D8" s="42" t="s">
        <v>182</v>
      </c>
    </row>
    <row r="9" spans="1:4" x14ac:dyDescent="0.55000000000000004">
      <c r="A9" s="42" t="s">
        <v>149</v>
      </c>
      <c r="B9" s="42" t="s">
        <v>183</v>
      </c>
      <c r="C9" s="42" t="s">
        <v>184</v>
      </c>
      <c r="D9" s="42" t="s">
        <v>185</v>
      </c>
    </row>
    <row r="10" spans="1:4" x14ac:dyDescent="0.55000000000000004">
      <c r="A10" s="42" t="s">
        <v>149</v>
      </c>
      <c r="B10" s="42" t="s">
        <v>186</v>
      </c>
      <c r="C10" s="42" t="s">
        <v>187</v>
      </c>
      <c r="D10" s="42" t="s">
        <v>188</v>
      </c>
    </row>
    <row r="11" spans="1:4" x14ac:dyDescent="0.55000000000000004">
      <c r="A11" s="42" t="s">
        <v>227</v>
      </c>
      <c r="B11" s="42" t="s">
        <v>234</v>
      </c>
      <c r="C11" s="42" t="s">
        <v>235</v>
      </c>
      <c r="D11" s="42" t="s">
        <v>235</v>
      </c>
    </row>
    <row r="12" spans="1:4" x14ac:dyDescent="0.55000000000000004">
      <c r="A12" s="42" t="s">
        <v>227</v>
      </c>
      <c r="B12" s="42" t="s">
        <v>232</v>
      </c>
      <c r="C12" s="42" t="s">
        <v>108</v>
      </c>
      <c r="D12" s="42" t="s">
        <v>236</v>
      </c>
    </row>
    <row r="13" spans="1:4" x14ac:dyDescent="0.55000000000000004">
      <c r="A13" s="42" t="s">
        <v>227</v>
      </c>
      <c r="B13" s="42" t="s">
        <v>237</v>
      </c>
      <c r="C13" s="42" t="s">
        <v>238</v>
      </c>
      <c r="D13" s="42" t="s">
        <v>238</v>
      </c>
    </row>
    <row r="14" spans="1:4" x14ac:dyDescent="0.55000000000000004">
      <c r="A14" s="42" t="s">
        <v>227</v>
      </c>
      <c r="B14" s="42" t="s">
        <v>239</v>
      </c>
      <c r="C14" s="42" t="s">
        <v>240</v>
      </c>
      <c r="D14" s="42" t="s">
        <v>240</v>
      </c>
    </row>
    <row r="15" spans="1:4" x14ac:dyDescent="0.55000000000000004">
      <c r="A15" s="42"/>
      <c r="B15" s="42"/>
      <c r="C15" s="42"/>
      <c r="D15" s="42"/>
    </row>
    <row r="16" spans="1:4" x14ac:dyDescent="0.55000000000000004">
      <c r="A16" s="42"/>
      <c r="B16" s="42"/>
      <c r="C16" s="42"/>
      <c r="D16" s="42"/>
    </row>
    <row r="17" spans="1:4" x14ac:dyDescent="0.55000000000000004">
      <c r="A17" s="42"/>
      <c r="B17" s="42"/>
      <c r="C17" s="42"/>
      <c r="D17" s="42"/>
    </row>
    <row r="18" spans="1:4" x14ac:dyDescent="0.55000000000000004">
      <c r="A18" s="42"/>
      <c r="B18" s="42"/>
      <c r="C18" s="42"/>
      <c r="D18" s="42"/>
    </row>
    <row r="19" spans="1:4" x14ac:dyDescent="0.55000000000000004">
      <c r="A19" s="42"/>
      <c r="B19" s="42"/>
      <c r="C19" s="42"/>
      <c r="D19" s="42"/>
    </row>
    <row r="20" spans="1:4" x14ac:dyDescent="0.55000000000000004">
      <c r="A20" s="42"/>
      <c r="B20" s="42"/>
      <c r="C20" s="42"/>
      <c r="D20" s="42"/>
    </row>
    <row r="21" spans="1:4" x14ac:dyDescent="0.55000000000000004">
      <c r="A21" s="42"/>
      <c r="B21" s="42"/>
      <c r="C21" s="42"/>
      <c r="D21" s="42"/>
    </row>
    <row r="22" spans="1:4" x14ac:dyDescent="0.55000000000000004">
      <c r="A22" s="42"/>
      <c r="B22" s="42"/>
      <c r="C22" s="42"/>
      <c r="D22" s="42"/>
    </row>
    <row r="23" spans="1:4" x14ac:dyDescent="0.55000000000000004">
      <c r="A23" s="42"/>
      <c r="B23" s="42"/>
      <c r="C23" s="42"/>
      <c r="D23" s="42"/>
    </row>
    <row r="24" spans="1:4" x14ac:dyDescent="0.55000000000000004">
      <c r="A24" s="42"/>
      <c r="B24" s="42"/>
      <c r="C24" s="42"/>
      <c r="D24" s="42"/>
    </row>
    <row r="25" spans="1:4" x14ac:dyDescent="0.55000000000000004">
      <c r="A25" s="42"/>
      <c r="B25" s="42"/>
      <c r="C25" s="42"/>
      <c r="D25" s="42"/>
    </row>
    <row r="26" spans="1:4" x14ac:dyDescent="0.55000000000000004">
      <c r="A26" s="42"/>
      <c r="B26" s="42"/>
      <c r="C26" s="42"/>
      <c r="D26" s="42"/>
    </row>
    <row r="27" spans="1:4" x14ac:dyDescent="0.55000000000000004">
      <c r="A27" s="42"/>
      <c r="B27" s="42"/>
      <c r="C27" s="42"/>
      <c r="D27" s="42"/>
    </row>
    <row r="28" spans="1:4" x14ac:dyDescent="0.55000000000000004">
      <c r="A28" s="42"/>
      <c r="B28" s="42"/>
      <c r="C28" s="42"/>
      <c r="D28" s="42"/>
    </row>
    <row r="29" spans="1:4" x14ac:dyDescent="0.55000000000000004">
      <c r="A29" s="42"/>
      <c r="B29" s="42"/>
      <c r="C29" s="42"/>
      <c r="D29" s="42"/>
    </row>
    <row r="30" spans="1:4" x14ac:dyDescent="0.55000000000000004">
      <c r="A30" s="42"/>
      <c r="B30" s="42"/>
      <c r="C30" s="42"/>
      <c r="D30" s="42"/>
    </row>
    <row r="31" spans="1:4" x14ac:dyDescent="0.55000000000000004">
      <c r="A31" s="42"/>
      <c r="B31" s="42"/>
      <c r="C31" s="42"/>
      <c r="D31" s="42"/>
    </row>
    <row r="32" spans="1:4" x14ac:dyDescent="0.55000000000000004">
      <c r="A32" s="42"/>
      <c r="B32" s="42"/>
      <c r="C32" s="42"/>
      <c r="D32" s="42"/>
    </row>
    <row r="33" spans="1:4" x14ac:dyDescent="0.55000000000000004">
      <c r="A33" s="42"/>
      <c r="B33" s="42"/>
      <c r="C33" s="42"/>
      <c r="D33" s="42"/>
    </row>
    <row r="34" spans="1:4" x14ac:dyDescent="0.55000000000000004">
      <c r="A34" s="42"/>
      <c r="B34" s="42"/>
      <c r="C34" s="42"/>
      <c r="D34" s="42"/>
    </row>
    <row r="35" spans="1:4" x14ac:dyDescent="0.55000000000000004">
      <c r="A35" s="42"/>
      <c r="B35" s="42"/>
      <c r="C35" s="42"/>
      <c r="D35" s="42"/>
    </row>
    <row r="36" spans="1:4" x14ac:dyDescent="0.55000000000000004">
      <c r="A36" s="42"/>
      <c r="B36" s="42"/>
      <c r="C36" s="42"/>
      <c r="D36" s="42"/>
    </row>
    <row r="37" spans="1:4" x14ac:dyDescent="0.55000000000000004">
      <c r="A37" s="42"/>
      <c r="B37" s="42"/>
      <c r="C37" s="42"/>
      <c r="D37" s="42"/>
    </row>
    <row r="38" spans="1:4" x14ac:dyDescent="0.55000000000000004">
      <c r="A38" s="42"/>
      <c r="B38" s="42"/>
      <c r="C38" s="42"/>
      <c r="D38" s="42"/>
    </row>
    <row r="39" spans="1:4" x14ac:dyDescent="0.55000000000000004">
      <c r="A39" s="42"/>
      <c r="B39" s="42"/>
      <c r="C39" s="42"/>
      <c r="D39" s="42"/>
    </row>
    <row r="40" spans="1:4" x14ac:dyDescent="0.55000000000000004">
      <c r="A40" s="42"/>
      <c r="B40" s="42"/>
      <c r="C40" s="42"/>
      <c r="D40" s="42"/>
    </row>
    <row r="41" spans="1:4" x14ac:dyDescent="0.55000000000000004">
      <c r="A41" s="42"/>
      <c r="B41" s="42"/>
      <c r="C41" s="42"/>
      <c r="D41" s="42"/>
    </row>
    <row r="42" spans="1:4" x14ac:dyDescent="0.55000000000000004">
      <c r="A42" s="42"/>
      <c r="B42" s="42"/>
      <c r="C42" s="42"/>
      <c r="D42" s="42"/>
    </row>
    <row r="43" spans="1:4" x14ac:dyDescent="0.55000000000000004">
      <c r="A43" s="42"/>
      <c r="B43" s="42"/>
      <c r="C43" s="42"/>
      <c r="D43" s="42"/>
    </row>
    <row r="44" spans="1:4" x14ac:dyDescent="0.55000000000000004">
      <c r="A44" s="43"/>
      <c r="B44" s="43"/>
      <c r="C44" s="43"/>
      <c r="D44" s="43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546666A0-AD42-40C5-8E32-BDFB16CC2863}"/>
    <dataValidation imeMode="off" allowBlank="1" showInputMessage="1" showErrorMessage="1" sqref="B2:B44" xr:uid="{C8A5EACD-3299-4C3B-A442-8422513D9A7C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5" activePane="bottomLeft" state="frozen"/>
      <selection pane="bottomLeft" activeCell="A10" sqref="A10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58</v>
      </c>
      <c r="C1" s="15" t="s">
        <v>59</v>
      </c>
      <c r="D1" s="15" t="s">
        <v>60</v>
      </c>
      <c r="E1" s="15" t="s">
        <v>61</v>
      </c>
      <c r="F1" s="15" t="s">
        <v>62</v>
      </c>
      <c r="G1" s="15" t="s">
        <v>62</v>
      </c>
      <c r="H1" s="16" t="s">
        <v>1</v>
      </c>
      <c r="I1" s="16" t="s">
        <v>2</v>
      </c>
      <c r="J1" s="16" t="s">
        <v>3</v>
      </c>
      <c r="K1" s="15" t="s">
        <v>76</v>
      </c>
      <c r="L1" s="15" t="s">
        <v>63</v>
      </c>
      <c r="M1" s="16" t="s">
        <v>6</v>
      </c>
      <c r="N1" s="17" t="s">
        <v>12</v>
      </c>
    </row>
    <row r="2" spans="1:14" ht="45" x14ac:dyDescent="0.55000000000000004">
      <c r="A2" s="2" t="s">
        <v>9</v>
      </c>
      <c r="B2" s="2" t="s">
        <v>9</v>
      </c>
      <c r="C2" s="2" t="s">
        <v>37</v>
      </c>
      <c r="D2" s="2" t="s">
        <v>26</v>
      </c>
      <c r="E2" s="2" t="s">
        <v>37</v>
      </c>
      <c r="F2" s="2" t="s">
        <v>39</v>
      </c>
      <c r="G2" s="2" t="s">
        <v>37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66</v>
      </c>
      <c r="N2" s="2" t="s">
        <v>18</v>
      </c>
    </row>
    <row r="3" spans="1:14" ht="45" x14ac:dyDescent="0.55000000000000004">
      <c r="A3" s="5" t="s">
        <v>8</v>
      </c>
      <c r="B3" s="5" t="s">
        <v>26</v>
      </c>
      <c r="C3" s="5" t="s">
        <v>33</v>
      </c>
      <c r="D3" s="5" t="s">
        <v>26</v>
      </c>
      <c r="E3" s="5" t="s">
        <v>40</v>
      </c>
      <c r="F3" s="5" t="s">
        <v>39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65</v>
      </c>
      <c r="N3" s="5" t="s">
        <v>17</v>
      </c>
    </row>
    <row r="4" spans="1:14" ht="45" x14ac:dyDescent="0.55000000000000004">
      <c r="A4" s="5" t="s">
        <v>7</v>
      </c>
      <c r="B4" s="5" t="s">
        <v>27</v>
      </c>
      <c r="C4" s="5" t="s">
        <v>32</v>
      </c>
      <c r="D4" s="5" t="s">
        <v>41</v>
      </c>
      <c r="E4" s="5" t="s">
        <v>42</v>
      </c>
      <c r="F4" s="5" t="s">
        <v>43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64</v>
      </c>
      <c r="N4" s="5" t="s">
        <v>16</v>
      </c>
    </row>
    <row r="5" spans="1:14" ht="30" x14ac:dyDescent="0.55000000000000004">
      <c r="A5" s="5" t="s">
        <v>10</v>
      </c>
      <c r="B5" s="5" t="s">
        <v>28</v>
      </c>
      <c r="C5" s="5" t="s">
        <v>38</v>
      </c>
      <c r="D5" s="5" t="s">
        <v>26</v>
      </c>
      <c r="E5" s="5" t="s">
        <v>40</v>
      </c>
      <c r="F5" s="5" t="s">
        <v>39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67</v>
      </c>
      <c r="N5" s="5" t="s">
        <v>14</v>
      </c>
    </row>
    <row r="6" spans="1:14" ht="45" x14ac:dyDescent="0.55000000000000004">
      <c r="A6" s="5" t="s">
        <v>11</v>
      </c>
      <c r="B6" s="5" t="s">
        <v>26</v>
      </c>
      <c r="C6" s="5" t="s">
        <v>33</v>
      </c>
      <c r="D6" s="5" t="s">
        <v>26</v>
      </c>
      <c r="E6" s="5" t="s">
        <v>40</v>
      </c>
      <c r="F6" s="5" t="s">
        <v>39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68</v>
      </c>
      <c r="N6" s="5" t="s">
        <v>13</v>
      </c>
    </row>
    <row r="7" spans="1:14" ht="45" x14ac:dyDescent="0.55000000000000004">
      <c r="A7" s="5" t="s">
        <v>15</v>
      </c>
      <c r="B7" s="5" t="s">
        <v>29</v>
      </c>
      <c r="C7" s="5" t="s">
        <v>35</v>
      </c>
      <c r="D7" s="5" t="s">
        <v>29</v>
      </c>
      <c r="E7" s="5" t="s">
        <v>53</v>
      </c>
      <c r="F7" s="5" t="s">
        <v>53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69</v>
      </c>
      <c r="N7" s="38" t="s">
        <v>130</v>
      </c>
    </row>
    <row r="8" spans="1:14" x14ac:dyDescent="0.55000000000000004">
      <c r="A8" s="5" t="s">
        <v>20</v>
      </c>
      <c r="B8" s="5" t="s">
        <v>30</v>
      </c>
      <c r="C8" s="5" t="s">
        <v>36</v>
      </c>
      <c r="D8" s="5" t="s">
        <v>26</v>
      </c>
      <c r="E8" s="5" t="s">
        <v>51</v>
      </c>
      <c r="F8" s="5" t="s">
        <v>39</v>
      </c>
      <c r="G8" s="5" t="s">
        <v>36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44</v>
      </c>
      <c r="N8" s="5" t="s">
        <v>55</v>
      </c>
    </row>
    <row r="9" spans="1:14" x14ac:dyDescent="0.55000000000000004">
      <c r="A9" s="5" t="s">
        <v>19</v>
      </c>
      <c r="B9" s="5" t="s">
        <v>30</v>
      </c>
      <c r="C9" s="5" t="s">
        <v>36</v>
      </c>
      <c r="D9" s="5" t="s">
        <v>26</v>
      </c>
      <c r="E9" s="5" t="s">
        <v>52</v>
      </c>
      <c r="F9" s="5" t="s">
        <v>39</v>
      </c>
      <c r="G9" s="5" t="s">
        <v>52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44</v>
      </c>
      <c r="N9" s="5" t="s">
        <v>56</v>
      </c>
    </row>
    <row r="10" spans="1:14" x14ac:dyDescent="0.55000000000000004">
      <c r="A10" s="5" t="s">
        <v>21</v>
      </c>
      <c r="B10" s="5" t="s">
        <v>30</v>
      </c>
      <c r="C10" s="5" t="s">
        <v>36</v>
      </c>
      <c r="D10" s="5" t="s">
        <v>26</v>
      </c>
      <c r="E10" s="5" t="s">
        <v>40</v>
      </c>
      <c r="F10" s="5" t="s">
        <v>39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44</v>
      </c>
      <c r="N10" s="5" t="s">
        <v>57</v>
      </c>
    </row>
    <row r="11" spans="1:14" x14ac:dyDescent="0.55000000000000004">
      <c r="A11" s="5" t="s">
        <v>22</v>
      </c>
      <c r="B11" s="5" t="s">
        <v>27</v>
      </c>
      <c r="C11" s="5" t="s">
        <v>32</v>
      </c>
      <c r="D11" s="5" t="s">
        <v>41</v>
      </c>
      <c r="E11" s="5" t="s">
        <v>43</v>
      </c>
      <c r="F11" s="5" t="s">
        <v>43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45</v>
      </c>
      <c r="N11" s="5"/>
    </row>
    <row r="12" spans="1:14" x14ac:dyDescent="0.55000000000000004">
      <c r="A12" s="5" t="s">
        <v>23</v>
      </c>
      <c r="B12" s="5" t="s">
        <v>31</v>
      </c>
      <c r="C12" s="5" t="s">
        <v>34</v>
      </c>
      <c r="D12" s="5" t="s">
        <v>41</v>
      </c>
      <c r="E12" s="5" t="s">
        <v>50</v>
      </c>
      <c r="F12" s="5" t="s">
        <v>54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46</v>
      </c>
      <c r="N12" s="5"/>
    </row>
    <row r="13" spans="1:14" x14ac:dyDescent="0.55000000000000004">
      <c r="A13" s="5" t="s">
        <v>24</v>
      </c>
      <c r="B13" s="5" t="s">
        <v>26</v>
      </c>
      <c r="C13" s="5" t="s">
        <v>33</v>
      </c>
      <c r="D13" s="5" t="s">
        <v>26</v>
      </c>
      <c r="E13" s="5" t="s">
        <v>40</v>
      </c>
      <c r="F13" s="5" t="s">
        <v>39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47</v>
      </c>
      <c r="N13" s="5"/>
    </row>
    <row r="14" spans="1:14" x14ac:dyDescent="0.55000000000000004">
      <c r="A14" s="8" t="s">
        <v>25</v>
      </c>
      <c r="B14" s="8" t="s">
        <v>26</v>
      </c>
      <c r="C14" s="8" t="s">
        <v>33</v>
      </c>
      <c r="D14" s="8" t="s">
        <v>26</v>
      </c>
      <c r="E14" s="8" t="s">
        <v>49</v>
      </c>
      <c r="F14" s="8" t="s">
        <v>39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48</v>
      </c>
      <c r="N14" s="8"/>
    </row>
  </sheetData>
  <phoneticPr fontId="1"/>
  <conditionalFormatting sqref="H2:K14">
    <cfRule type="cellIs" dxfId="10" priority="1" operator="equal">
      <formula>0</formula>
    </cfRule>
    <cfRule type="cellIs" dxfId="9" priority="2" operator="lessThan">
      <formula>0</formula>
    </cfRule>
    <cfRule type="cellIs" dxfId="8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5846-6026-4138-A37D-F05C272D4B52}">
  <sheetPr codeName="settings">
    <tabColor theme="9" tint="0.59999389629810485"/>
  </sheetPr>
  <dimension ref="B1:E15"/>
  <sheetViews>
    <sheetView workbookViewId="0">
      <selection activeCell="C5" sqref="C5"/>
    </sheetView>
  </sheetViews>
  <sheetFormatPr defaultRowHeight="18" x14ac:dyDescent="0.55000000000000004"/>
  <cols>
    <col min="2" max="2" width="22.58203125" customWidth="1"/>
    <col min="3" max="3" width="31.33203125" customWidth="1"/>
    <col min="4" max="4" width="5.25" customWidth="1"/>
    <col min="5" max="5" width="55.08203125" customWidth="1"/>
  </cols>
  <sheetData>
    <row r="1" spans="2:5" x14ac:dyDescent="0.55000000000000004">
      <c r="D1" s="32"/>
    </row>
    <row r="2" spans="2:5" x14ac:dyDescent="0.55000000000000004">
      <c r="B2" t="s">
        <v>86</v>
      </c>
      <c r="C2" t="str" cm="1">
        <f t="array" aca="1" ref="C2" ca="1">LEFT(CELL("filename",$A$1),FIND("[",CELL("filename",$A$1))-1)</f>
        <v>C:\Users\andre\.local\share\go\workspace\define-monad\</v>
      </c>
      <c r="D2" s="32"/>
    </row>
    <row r="3" spans="2:5" x14ac:dyDescent="0.55000000000000004">
      <c r="B3" t="s">
        <v>70</v>
      </c>
      <c r="C3" t="s">
        <v>87</v>
      </c>
      <c r="D3" s="32"/>
      <c r="E3" t="str">
        <f ca="1">C2&amp;C3&amp;"\"</f>
        <v>C:\Users\andre\.local\share\go\workspace\define-monad\dist\</v>
      </c>
    </row>
    <row r="4" spans="2:5" x14ac:dyDescent="0.55000000000000004">
      <c r="D4" s="32"/>
    </row>
    <row r="5" spans="2:5" x14ac:dyDescent="0.55000000000000004">
      <c r="B5" t="s">
        <v>88</v>
      </c>
      <c r="D5" s="32"/>
    </row>
    <row r="6" spans="2:5" x14ac:dyDescent="0.55000000000000004">
      <c r="B6" s="29" t="s">
        <v>132</v>
      </c>
      <c r="C6" s="29" t="s">
        <v>133</v>
      </c>
      <c r="D6" s="32" t="s">
        <v>89</v>
      </c>
      <c r="E6" s="33" t="str">
        <f ca="1">$E$3&amp;C6</f>
        <v>C:\Users\andre\.local\share\go\workspace\define-monad\dist\save_data.yaml</v>
      </c>
    </row>
    <row r="7" spans="2:5" x14ac:dyDescent="0.55000000000000004">
      <c r="D7" s="32"/>
    </row>
    <row r="8" spans="2:5" x14ac:dyDescent="0.55000000000000004">
      <c r="B8" s="29" t="s">
        <v>136</v>
      </c>
      <c r="C8" s="29" t="s">
        <v>224</v>
      </c>
      <c r="D8" s="32" t="s">
        <v>89</v>
      </c>
      <c r="E8" s="33" t="str">
        <f ca="1">$E$3&amp;C8</f>
        <v>C:\Users\andre\.local\share\go\workspace\define-monad\dist\table_elements.yaml</v>
      </c>
    </row>
    <row r="9" spans="2:5" x14ac:dyDescent="0.55000000000000004">
      <c r="B9" s="29" t="s">
        <v>138</v>
      </c>
      <c r="C9" s="29" t="s">
        <v>139</v>
      </c>
      <c r="D9" s="32" t="s">
        <v>89</v>
      </c>
      <c r="E9" s="33" t="str">
        <f ca="1">$E$3&amp;C9</f>
        <v>C:\Users\andre\.local\share\go\workspace\define-monad\dist\api_elements.yaml</v>
      </c>
    </row>
    <row r="10" spans="2:5" x14ac:dyDescent="0.55000000000000004">
      <c r="B10" s="29" t="s">
        <v>148</v>
      </c>
      <c r="C10" s="29" t="s">
        <v>219</v>
      </c>
      <c r="D10" s="32" t="s">
        <v>89</v>
      </c>
      <c r="E10" s="33" t="str">
        <f ca="1">$E$3&amp;C10</f>
        <v>C:\Users\andre\.local\share\go\workspace\define-monad\dist\01_types.sql</v>
      </c>
    </row>
    <row r="12" spans="2:5" x14ac:dyDescent="0.55000000000000004">
      <c r="B12" s="29" t="s">
        <v>144</v>
      </c>
      <c r="C12" s="29" t="s">
        <v>143</v>
      </c>
      <c r="D12" s="32" t="s">
        <v>89</v>
      </c>
      <c r="E12" s="33" t="str">
        <f ca="1">$E$3&amp;C12</f>
        <v>C:\Users\andre\.local\share\go\workspace\define-monad\dist\view_elements.tsv</v>
      </c>
    </row>
    <row r="13" spans="2:5" x14ac:dyDescent="0.55000000000000004">
      <c r="B13" s="29" t="s">
        <v>145</v>
      </c>
      <c r="C13" s="29" t="s">
        <v>142</v>
      </c>
      <c r="D13" s="32" t="s">
        <v>89</v>
      </c>
      <c r="E13" s="33" t="str">
        <f ca="1">$E$3&amp;C13</f>
        <v>C:\Users\andre\.local\share\go\workspace\define-monad\dist\view_derive_elements.tsv</v>
      </c>
    </row>
    <row r="14" spans="2:5" x14ac:dyDescent="0.55000000000000004">
      <c r="B14" s="29" t="s">
        <v>146</v>
      </c>
      <c r="C14" s="29" t="s">
        <v>141</v>
      </c>
      <c r="D14" s="32" t="s">
        <v>89</v>
      </c>
      <c r="E14" s="33" t="str">
        <f ca="1">$E$3&amp;C14</f>
        <v>C:\Users\andre\.local\share\go\workspace\define-monad\dist\view_segments.tsv</v>
      </c>
    </row>
    <row r="15" spans="2:5" x14ac:dyDescent="0.55000000000000004">
      <c r="D15" s="3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81</v>
      </c>
      <c r="F1" t="s">
        <v>82</v>
      </c>
    </row>
    <row r="2" spans="1:6" x14ac:dyDescent="0.55000000000000004">
      <c r="B2" s="24" t="s">
        <v>77</v>
      </c>
      <c r="D2" t="s">
        <v>191</v>
      </c>
      <c r="F2" t="s">
        <v>105</v>
      </c>
    </row>
    <row r="3" spans="1:6" x14ac:dyDescent="0.55000000000000004">
      <c r="B3" s="25" t="s">
        <v>78</v>
      </c>
      <c r="D3" t="s">
        <v>91</v>
      </c>
      <c r="F3" t="s">
        <v>149</v>
      </c>
    </row>
    <row r="4" spans="1:6" x14ac:dyDescent="0.55000000000000004">
      <c r="D4" t="s">
        <v>92</v>
      </c>
      <c r="F4" t="s">
        <v>227</v>
      </c>
    </row>
    <row r="5" spans="1:6" x14ac:dyDescent="0.55000000000000004">
      <c r="A5" t="s">
        <v>84</v>
      </c>
      <c r="B5" s="29" t="s">
        <v>91</v>
      </c>
      <c r="D5" t="s">
        <v>101</v>
      </c>
    </row>
    <row r="6" spans="1:6" x14ac:dyDescent="0.55000000000000004">
      <c r="A6" t="s">
        <v>83</v>
      </c>
      <c r="B6" s="29"/>
      <c r="D6" t="s">
        <v>105</v>
      </c>
    </row>
    <row r="7" spans="1:6" x14ac:dyDescent="0.55000000000000004">
      <c r="A7" t="s">
        <v>85</v>
      </c>
      <c r="B7" s="29" t="s">
        <v>91</v>
      </c>
      <c r="D7" t="s">
        <v>121</v>
      </c>
    </row>
    <row r="8" spans="1:6" x14ac:dyDescent="0.55000000000000004">
      <c r="D8" t="s">
        <v>125</v>
      </c>
    </row>
    <row r="9" spans="1:6" x14ac:dyDescent="0.55000000000000004">
      <c r="D9" t="s">
        <v>149</v>
      </c>
    </row>
    <row r="10" spans="1:6" x14ac:dyDescent="0.55000000000000004">
      <c r="D10" t="s">
        <v>150</v>
      </c>
    </row>
    <row r="11" spans="1:6" x14ac:dyDescent="0.55000000000000004">
      <c r="D11" t="s">
        <v>151</v>
      </c>
    </row>
    <row r="12" spans="1:6" x14ac:dyDescent="0.55000000000000004">
      <c r="D12" t="s">
        <v>192</v>
      </c>
    </row>
    <row r="13" spans="1:6" x14ac:dyDescent="0.55000000000000004">
      <c r="D13" t="s">
        <v>153</v>
      </c>
    </row>
    <row r="14" spans="1:6" x14ac:dyDescent="0.55000000000000004">
      <c r="D14" t="s">
        <v>155</v>
      </c>
    </row>
    <row r="15" spans="1:6" x14ac:dyDescent="0.55000000000000004">
      <c r="D15" t="s">
        <v>156</v>
      </c>
    </row>
    <row r="16" spans="1:6" x14ac:dyDescent="0.55000000000000004">
      <c r="D16" t="s">
        <v>241</v>
      </c>
    </row>
    <row r="17" spans="4:4" x14ac:dyDescent="0.55000000000000004">
      <c r="D17" t="s">
        <v>189</v>
      </c>
    </row>
    <row r="18" spans="4:4" x14ac:dyDescent="0.55000000000000004">
      <c r="D18" t="s">
        <v>242</v>
      </c>
    </row>
    <row r="19" spans="4:4" x14ac:dyDescent="0.55000000000000004">
      <c r="D19" t="s">
        <v>190</v>
      </c>
    </row>
    <row r="20" spans="4:4" x14ac:dyDescent="0.55000000000000004">
      <c r="D20" t="s">
        <v>193</v>
      </c>
    </row>
    <row r="21" spans="4:4" x14ac:dyDescent="0.55000000000000004">
      <c r="D21" t="s">
        <v>194</v>
      </c>
    </row>
    <row r="22" spans="4:4" x14ac:dyDescent="0.55000000000000004">
      <c r="D22" t="s">
        <v>220</v>
      </c>
    </row>
    <row r="23" spans="4:4" x14ac:dyDescent="0.55000000000000004">
      <c r="D23" t="s">
        <v>226</v>
      </c>
    </row>
    <row r="24" spans="4:4" x14ac:dyDescent="0.55000000000000004">
      <c r="D24" t="s">
        <v>227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11</vt:i4>
      </vt:variant>
    </vt:vector>
  </HeadingPairs>
  <TitlesOfParts>
    <vt:vector size="17" baseType="lpstr">
      <vt:lpstr>項目</vt:lpstr>
      <vt:lpstr>別名</vt:lpstr>
      <vt:lpstr>区分値</vt:lpstr>
      <vt:lpstr>タイプ</vt:lpstr>
      <vt:lpstr>設定</vt:lpstr>
      <vt:lpstr>WORK</vt:lpstr>
      <vt:lpstr>api_elements_path</vt:lpstr>
      <vt:lpstr>save_data_path</vt:lpstr>
      <vt:lpstr>table_elements_path</vt:lpstr>
      <vt:lpstr>types_ddl_path</vt:lpstr>
      <vt:lpstr>view_derive_elements_path</vt:lpstr>
      <vt:lpstr>view_elements_path</vt:lpstr>
      <vt:lpstr>view_segments_path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2024-01-18T10:36:55Z</dcterms:modified>
</cp:coreProperties>
</file>