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F1BB65C5-758A-44EF-AFD6-C3222863CBDF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" i="3" l="1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D2" i="5"/>
  <c r="D10" i="5"/>
  <c r="D18" i="5"/>
  <c r="D26" i="5"/>
  <c r="D34" i="5"/>
  <c r="D8" i="5"/>
  <c r="D9" i="5"/>
  <c r="D33" i="5"/>
  <c r="D3" i="5"/>
  <c r="D11" i="5"/>
  <c r="D19" i="5"/>
  <c r="D27" i="5"/>
  <c r="D35" i="5"/>
  <c r="D16" i="5"/>
  <c r="D25" i="5"/>
  <c r="D4" i="5"/>
  <c r="D12" i="5"/>
  <c r="D20" i="5"/>
  <c r="D28" i="5"/>
  <c r="D6" i="5"/>
  <c r="D7" i="5"/>
  <c r="D15" i="5"/>
  <c r="D23" i="5"/>
  <c r="D32" i="5"/>
  <c r="D5" i="5"/>
  <c r="D13" i="5"/>
  <c r="D21" i="5"/>
  <c r="D29" i="5"/>
  <c r="D14" i="5"/>
  <c r="D22" i="5"/>
  <c r="D30" i="5"/>
  <c r="D31" i="5"/>
  <c r="D17" i="5"/>
  <c r="D24" i="5"/>
  <c r="C2" i="3"/>
  <c r="C3" i="3"/>
  <c r="C11" i="3"/>
  <c r="C19" i="3"/>
  <c r="C27" i="3"/>
  <c r="C35" i="3"/>
  <c r="C43" i="3"/>
  <c r="C51" i="3"/>
  <c r="C4" i="3"/>
  <c r="C12" i="3"/>
  <c r="C20" i="3"/>
  <c r="C28" i="3"/>
  <c r="C36" i="3"/>
  <c r="C44" i="3"/>
  <c r="C52" i="3"/>
  <c r="C22" i="3"/>
  <c r="C38" i="3"/>
  <c r="C54" i="3"/>
  <c r="C15" i="3"/>
  <c r="C31" i="3"/>
  <c r="C47" i="3"/>
  <c r="C8" i="3"/>
  <c r="C24" i="3"/>
  <c r="C40" i="3"/>
  <c r="C56" i="3"/>
  <c r="C17" i="3"/>
  <c r="C33" i="3"/>
  <c r="C41" i="3"/>
  <c r="C57" i="3"/>
  <c r="C18" i="3"/>
  <c r="C34" i="3"/>
  <c r="C50" i="3"/>
  <c r="C5" i="3"/>
  <c r="C13" i="3"/>
  <c r="C21" i="3"/>
  <c r="C29" i="3"/>
  <c r="C37" i="3"/>
  <c r="C45" i="3"/>
  <c r="C53" i="3"/>
  <c r="C6" i="3"/>
  <c r="C14" i="3"/>
  <c r="C30" i="3"/>
  <c r="C46" i="3"/>
  <c r="C7" i="3"/>
  <c r="C23" i="3"/>
  <c r="C39" i="3"/>
  <c r="C55" i="3"/>
  <c r="C16" i="3"/>
  <c r="C32" i="3"/>
  <c r="C48" i="3"/>
  <c r="C9" i="3"/>
  <c r="C25" i="3"/>
  <c r="C49" i="3"/>
  <c r="C10" i="3"/>
  <c r="C26" i="3"/>
  <c r="C42" i="3"/>
</calcChain>
</file>

<file path=xl/sharedStrings.xml><?xml version="1.0" encoding="utf-8"?>
<sst xmlns="http://schemas.openxmlformats.org/spreadsheetml/2006/main" count="378" uniqueCount="239">
  <si>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</si>
  <si>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</si>
  <si>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</si>
  <si>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</si>
  <si>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</si>
  <si>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</si>
  <si>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</si>
  <si>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</si>
  <si>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</si>
  <si>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</si>
  <si>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</si>
  <si>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</si>
  <si>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</si>
  <si>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</si>
  <si>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</si>
  <si>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</si>
  <si>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</si>
  <si>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</si>
  <si>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</si>
  <si>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</si>
  <si>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</si>
  <si>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</si>
  <si>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</si>
  <si>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</si>
  <si>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</si>
  <si>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</si>
  <si>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</si>
  <si>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</si>
  <si>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</si>
  <si>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</si>
  <si>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</si>
  <si>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</si>
  <si>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</si>
  <si>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</si>
  <si>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</si>
  <si>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</si>
  <si>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</si>
  <si>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</si>
  <si>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</si>
  <si>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</si>
  <si>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</si>
  <si>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</si>
  <si>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</si>
  <si>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</si>
  <si>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</si>
  <si>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</si>
  <si>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</si>
  <si>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</si>
  <si>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</si>
  <si>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</si>
  <si>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</si>
  <si>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</si>
  <si>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</si>
  <si>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</si>
  <si>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</si>
  <si>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</si>
  <si>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</si>
  <si>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</si>
  <si>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</si>
  <si>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</si>
  <si>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</si>
  <si>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</si>
  <si>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</si>
  <si>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</si>
  <si>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</si>
  <si>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</si>
  <si>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</si>
  <si>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</si>
  <si>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</si>
  <si>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</si>
  <si>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</si>
  <si>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</si>
  <si>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</si>
  <si>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</si>
  <si>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</si>
  <si>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</si>
  <si>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</si>
  <si>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</si>
  <si>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</si>
  <si>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</si>
  <si>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</si>
  <si>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</si>
  <si>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</si>
  <si>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</si>
  <si>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</si>
  <si>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</si>
  <si>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</si>
  <si>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</si>
  <si>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</si>
  <si>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</si>
  <si>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</si>
  <si>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</si>
  <si>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登録日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</si>
  <si>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</si>
  <si>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</si>
  <si>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</si>
  <si>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</si>
  <si>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</si>
  <si>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</si>
  <si>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</si>
  <si>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</si>
  <si>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</si>
  <si>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</si>
  <si>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</si>
  <si>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</si>
  <si>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</si>
  <si>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</si>
  <si>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</si>
  <si>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</si>
  <si>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</si>
  <si>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</si>
  <si>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</si>
  <si>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</si>
  <si>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</si>
  <si>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</si>
  <si>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</si>
  <si>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</si>
  <si>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</si>
  <si>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</si>
  <si>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</si>
  <si>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</si>
  <si>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</si>
  <si>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</si>
  <si>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</si>
  <si>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</si>
  <si>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</si>
  <si>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</si>
  <si>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</si>
  <si>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</si>
  <si>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</si>
  <si>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</si>
  <si>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</si>
  <si>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</si>
  <si>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</si>
  <si>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</si>
  <si>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</si>
  <si>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</si>
  <si>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RO-0000001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</si>
  <si>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</si>
  <si>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</si>
  <si>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</si>
  <si>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</si>
  <si>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</si>
  <si>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</si>
  <si>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</si>
  <si>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</si>
  <si>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</si>
  <si>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</si>
  <si>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</si>
  <si>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</si>
  <si>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</si>
  <si>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</si>
  <si>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</si>
  <si>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</si>
  <si>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</si>
  <si>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</si>
  <si>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</si>
  <si>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</si>
  <si>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</si>
  <si>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</si>
  <si>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</si>
  <si>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</si>
  <si>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</si>
  <si>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</si>
  <si>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</si>
  <si>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</si>
  <si>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</si>
  <si>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</si>
  <si>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</si>
  <si>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</si>
  <si>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</si>
  <si>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</si>
  <si>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</si>
  <si>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</si>
  <si>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</si>
  <si>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</si>
  <si>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</si>
  <si>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</si>
  <si>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</si>
  <si>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</si>
  <si>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</si>
  <si>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</si>
  <si>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稼働状況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</si>
  <si>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</si>
  <si>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</si>
  <si>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</si>
  <si>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</si>
  <si>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</si>
  <si>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</si>
  <si>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</si>
  <si>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</si>
  <si>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</si>
  <si>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</si>
  <si>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</si>
  <si>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</si>
  <si>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</si>
  <si>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</si>
  <si>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</si>
  <si>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</si>
  <si>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</si>
  <si>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</si>
  <si>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</si>
  <si>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</si>
  <si>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</si>
  <si>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</si>
  <si>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</si>
  <si>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</si>
  <si>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</si>
  <si>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</si>
  <si>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</si>
  <si>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</si>
  <si>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</si>
  <si>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</si>
  <si>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</si>
  <si>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</si>
  <si>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</si>
  <si>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</si>
  <si>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</si>
  <si>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</si>
  <si>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</si>
  <si>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</si>
  <si>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</si>
  <si>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</si>
  <si>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</si>
  <si>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ede66c43-9b9d-4222-93ed-5f11c96e08e2</t>
  </si>
  <si>
    <t>ログのID</t>
  </si>
  <si>
    <t>customerId</t>
  </si>
  <si>
    <t>customerName</t>
  </si>
  <si>
    <t>^([0-1]?[0-9]|2[0-3]):[0-5][0-9]$</t>
    <phoneticPr fontId="1"/>
  </si>
  <si>
    <t>14000</t>
  </si>
  <si>
    <t>250.25</t>
  </si>
  <si>
    <t>30</t>
  </si>
  <si>
    <t>1051</t>
  </si>
  <si>
    <t>0.324</t>
  </si>
  <si>
    <t>2022-12-31</t>
  </si>
  <si>
    <t>false</t>
  </si>
  <si>
    <t>true</t>
  </si>
  <si>
    <t>14:00</t>
  </si>
  <si>
    <t>0012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</si>
</sst>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5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0" fontId="7" fillId="2" borderId="9" xfId="0" applyFont="1" applyFill="1" applyBorder="1" applyAlignment="1">
      <alignment horizontal="center" vertical="center"/>
    </xf>
    <xf numFmtId="0" fontId="4" fillId="5" borderId="13" xfId="0" applyFont="1" applyFill="1" applyBorder="1">
      <alignment vertical="center"/>
    </xf>
    <xf numFmtId="178" fontId="4" fillId="5" borderId="13" xfId="0" applyNumberFormat="1" applyFont="1" applyFill="1" applyBorder="1">
      <alignment vertical="center"/>
    </xf>
    <xf numFmtId="0" fontId="2" fillId="0" borderId="12" xfId="0" applyFont="1" applyFill="1" applyBorder="1">
      <alignment vertical="center"/>
    </xf>
    <xf numFmtId="0" fontId="4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4" fillId="0" borderId="13" xfId="0" applyNumberFormat="1" applyFont="1" applyFill="1" applyBorder="1">
      <alignment vertical="center"/>
    </xf>
    <xf numFmtId="49" fontId="4" fillId="0" borderId="12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49" fontId="0" fillId="0" borderId="0" xfId="0" applyNumberFormat="1">
      <alignment vertical="center"/>
    </xf>
    <xf numFmtId="49" fontId="7" fillId="2" borderId="8" xfId="0" applyNumberFormat="1" applyFont="1" applyFill="1" applyBorder="1" applyAlignment="1">
      <alignment horizontal="center" vertical="center" wrapText="1"/>
    </xf>
    <xf numFmtId="49" fontId="8" fillId="0" borderId="0" xfId="0" applyNumberFormat="1" applyFont="1">
      <alignment vertical="center"/>
    </xf>
  </cellXfs>
  <cellStyles count="1">
    <cellStyle name="標準" xfId="0" builtinId="0"/>
  </cellStyles>
  <dxfs count="12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268"/>
  <sheetViews>
    <sheetView showGridLines="0" tabSelected="1" zoomScaleNormal="100" workbookViewId="0">
      <pane ySplit="1" topLeftCell="A2" activePane="bottomLeft" state="frozen"/>
      <selection activeCell="E5" sqref="E5"/>
      <selection pane="bottomLeft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46" customWidth="1"/>
    <col min="11" max="11" width="19.58203125" style="23" customWidth="1"/>
    <col min="12" max="16384" width="8.6640625" style="23"/>
  </cols>
  <sheetData>
    <row r="1" spans="1:15" ht="26" x14ac:dyDescent="0.55000000000000004">
      <c r="A1" s="33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5" t="s">
        <v>4</v>
      </c>
      <c r="I1" s="35" t="s">
        <v>5</v>
      </c>
      <c r="J1" s="45" t="s">
        <v>72</v>
      </c>
      <c r="K1" s="20" t="s">
        <v>6</v>
      </c>
      <c r="L1" s="19" t="s">
        <v>61</v>
      </c>
      <c r="M1" s="19" t="s">
        <v>61</v>
      </c>
      <c r="N1" s="21" t="s">
        <v>117</v>
      </c>
      <c r="O1" s="22" t="s">
        <v>73</v>
      </c>
    </row>
    <row r="2" spans="1:15" ht="15" x14ac:dyDescent="0.55000000000000004">
      <c r="A2" s="38" t="s">
        <v>164</v>
      </c>
      <c r="B2" s="38" t="s">
        <v>168</v>
      </c>
      <c r="C2" s="26" t="str">
        <f t="shared" ref="C2:C33" si="0">camel2snake(B2)</f>
        <v>product_no</v>
      </c>
      <c r="D2" s="38" t="s">
        <v>208</v>
      </c>
      <c r="E2" s="32"/>
      <c r="F2" s="43">
        <v>9</v>
      </c>
      <c r="G2" s="43">
        <v>10</v>
      </c>
      <c r="H2" s="32"/>
      <c r="I2" s="32"/>
      <c r="J2" s="42" t="s">
        <v>88</v>
      </c>
      <c r="K2" s="38" t="s">
        <v>106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1">
        <f ca="1">COUNTIF(派生元項目KEY,A2)</f>
        <v>0</v>
      </c>
      <c r="O2" s="31">
        <f ca="1">COUNTIF(区分値項目KEY,A2)</f>
        <v>0</v>
      </c>
    </row>
    <row r="3" spans="1:15" ht="15" x14ac:dyDescent="0.55000000000000004">
      <c r="A3" s="38" t="s">
        <v>84</v>
      </c>
      <c r="B3" s="38" t="s">
        <v>86</v>
      </c>
      <c r="C3" s="26" t="str">
        <f t="shared" si="0"/>
        <v>price</v>
      </c>
      <c r="D3" s="38" t="s">
        <v>89</v>
      </c>
      <c r="E3" s="32"/>
      <c r="F3" s="32"/>
      <c r="G3" s="32"/>
      <c r="H3" s="38">
        <v>0</v>
      </c>
      <c r="I3" s="38"/>
      <c r="J3" s="42" t="s">
        <v>229</v>
      </c>
      <c r="K3" s="38" t="s">
        <v>107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1">
        <f ca="1">COUNTIF(派生元項目KEY,A3)</f>
        <v>1</v>
      </c>
      <c r="O3" s="31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2"/>
      <c r="F4" s="32"/>
      <c r="G4" s="32"/>
      <c r="H4" s="38">
        <v>-1000</v>
      </c>
      <c r="I4" s="38">
        <v>1000</v>
      </c>
      <c r="J4" s="42" t="s">
        <v>230</v>
      </c>
      <c r="K4" s="38" t="s">
        <v>108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1">
        <f ca="1">COUNTIF(派生元項目KEY,A4)</f>
        <v>0</v>
      </c>
      <c r="O4" s="31">
        <f ca="1">COUNTIF(区分値項目KEY,A4)</f>
        <v>0</v>
      </c>
    </row>
    <row r="5" spans="1:15" ht="15" x14ac:dyDescent="0.55000000000000004">
      <c r="A5" s="38" t="s">
        <v>92</v>
      </c>
      <c r="B5" s="38" t="s">
        <v>194</v>
      </c>
      <c r="C5" s="26" t="str">
        <f t="shared" si="0"/>
        <v>registration_date</v>
      </c>
      <c r="D5" s="38" t="s">
        <v>90</v>
      </c>
      <c r="E5" s="32"/>
      <c r="F5" s="32"/>
      <c r="G5" s="32"/>
      <c r="H5" s="32"/>
      <c r="I5" s="32"/>
      <c r="J5" s="42" t="s">
        <v>234</v>
      </c>
      <c r="K5" s="38" t="s">
        <v>92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1">
        <f ca="1">COUNTIF(派生元項目KEY,A5)</f>
        <v>0</v>
      </c>
      <c r="O5" s="31">
        <f ca="1">COUNTIF(区分値項目KEY,A5)</f>
        <v>0</v>
      </c>
    </row>
    <row r="6" spans="1:15" ht="15" x14ac:dyDescent="0.55000000000000004">
      <c r="A6" s="38" t="s">
        <v>95</v>
      </c>
      <c r="B6" s="38" t="s">
        <v>96</v>
      </c>
      <c r="C6" s="26" t="str">
        <f t="shared" si="0"/>
        <v>product_kbn</v>
      </c>
      <c r="D6" s="38" t="s">
        <v>210</v>
      </c>
      <c r="E6" s="32"/>
      <c r="F6" s="43"/>
      <c r="G6" s="38"/>
      <c r="H6" s="32"/>
      <c r="I6" s="32"/>
      <c r="J6" s="42" t="s">
        <v>124</v>
      </c>
      <c r="K6" s="38" t="s">
        <v>97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1">
        <f ca="1">COUNTIF(派生元項目KEY,A6)</f>
        <v>0</v>
      </c>
      <c r="O6" s="31">
        <f ca="1">COUNTIF(区分値項目KEY,A6)</f>
        <v>4</v>
      </c>
    </row>
    <row r="7" spans="1:15" ht="15" x14ac:dyDescent="0.55000000000000004">
      <c r="A7" s="38" t="s">
        <v>110</v>
      </c>
      <c r="B7" s="38" t="s">
        <v>112</v>
      </c>
      <c r="C7" s="26" t="str">
        <f t="shared" si="0"/>
        <v>comment</v>
      </c>
      <c r="D7" s="38" t="s">
        <v>111</v>
      </c>
      <c r="E7" s="40"/>
      <c r="F7" s="43">
        <v>10</v>
      </c>
      <c r="G7" s="32"/>
      <c r="H7" s="32"/>
      <c r="I7" s="32"/>
      <c r="J7" s="42" t="s">
        <v>113</v>
      </c>
      <c r="K7" s="38" t="s">
        <v>110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1">
        <f ca="1">COUNTIF(派生元項目KEY,A7)</f>
        <v>0</v>
      </c>
      <c r="O7" s="31">
        <f ca="1">COUNTIF(区分値項目KEY,A7)</f>
        <v>0</v>
      </c>
    </row>
    <row r="8" spans="1:15" ht="15" x14ac:dyDescent="0.55000000000000004">
      <c r="A8" s="38" t="s">
        <v>114</v>
      </c>
      <c r="B8" s="38" t="s">
        <v>119</v>
      </c>
      <c r="C8" s="26" t="str">
        <f t="shared" si="0"/>
        <v>can_update</v>
      </c>
      <c r="D8" s="38" t="s">
        <v>115</v>
      </c>
      <c r="E8" s="32"/>
      <c r="F8" s="32"/>
      <c r="G8" s="32"/>
      <c r="H8" s="32"/>
      <c r="I8" s="32"/>
      <c r="J8" s="42" t="s">
        <v>235</v>
      </c>
      <c r="K8" s="38" t="s">
        <v>116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1">
        <f ca="1">COUNTIF(派生元項目KEY,A8)</f>
        <v>0</v>
      </c>
      <c r="O8" s="31">
        <f ca="1">COUNTIF(区分値項目KEY,A8)</f>
        <v>0</v>
      </c>
    </row>
    <row r="9" spans="1:15" ht="15" x14ac:dyDescent="0.55000000000000004">
      <c r="A9" s="38" t="s">
        <v>125</v>
      </c>
      <c r="B9" s="38" t="s">
        <v>184</v>
      </c>
      <c r="C9" s="26" t="str">
        <f t="shared" si="0"/>
        <v>department</v>
      </c>
      <c r="D9" s="38" t="s">
        <v>210</v>
      </c>
      <c r="E9" s="32"/>
      <c r="F9" s="43"/>
      <c r="G9" s="38"/>
      <c r="H9" s="32"/>
      <c r="I9" s="32"/>
      <c r="J9" s="42" t="s">
        <v>150</v>
      </c>
      <c r="K9" s="38" t="s">
        <v>125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1">
        <f ca="1">COUNTIF(派生元項目KEY,A9)</f>
        <v>1</v>
      </c>
      <c r="O9" s="31">
        <f ca="1">COUNTIF(区分値項目KEY,A9)</f>
        <v>5</v>
      </c>
    </row>
    <row r="10" spans="1:15" ht="15" x14ac:dyDescent="0.55000000000000004">
      <c r="A10" s="38" t="s">
        <v>126</v>
      </c>
      <c r="B10" s="38" t="s">
        <v>133</v>
      </c>
      <c r="C10" s="26" t="str">
        <f t="shared" si="0"/>
        <v>order_date</v>
      </c>
      <c r="D10" s="38" t="s">
        <v>90</v>
      </c>
      <c r="E10" s="32"/>
      <c r="F10" s="32"/>
      <c r="G10" s="32"/>
      <c r="H10" s="32"/>
      <c r="I10" s="32"/>
      <c r="J10" s="42" t="s">
        <v>234</v>
      </c>
      <c r="K10" s="38" t="s">
        <v>126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1">
        <f ca="1">COUNTIF(派生元項目KEY,A10)</f>
        <v>0</v>
      </c>
      <c r="O10" s="31">
        <f ca="1">COUNTIF(区分値項目KEY,A10)</f>
        <v>0</v>
      </c>
    </row>
    <row r="11" spans="1:15" ht="15" x14ac:dyDescent="0.55000000000000004">
      <c r="A11" s="38" t="s">
        <v>127</v>
      </c>
      <c r="B11" s="38" t="s">
        <v>134</v>
      </c>
      <c r="C11" s="26" t="str">
        <f t="shared" si="0"/>
        <v>quantity</v>
      </c>
      <c r="D11" s="38" t="s">
        <v>89</v>
      </c>
      <c r="E11" s="32"/>
      <c r="F11" s="32"/>
      <c r="G11" s="32"/>
      <c r="H11" s="38">
        <v>0</v>
      </c>
      <c r="I11" s="38">
        <v>99999</v>
      </c>
      <c r="J11" s="42" t="s">
        <v>231</v>
      </c>
      <c r="K11" s="38" t="s">
        <v>127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1">
        <f ca="1">COUNTIF(派生元項目KEY,A11)</f>
        <v>0</v>
      </c>
      <c r="O11" s="31">
        <f ca="1">COUNTIF(区分値項目KEY,A11)</f>
        <v>0</v>
      </c>
    </row>
    <row r="12" spans="1:15" ht="15" x14ac:dyDescent="0.55000000000000004">
      <c r="A12" s="38" t="s">
        <v>165</v>
      </c>
      <c r="B12" s="38" t="s">
        <v>169</v>
      </c>
      <c r="C12" s="26" t="str">
        <f t="shared" si="0"/>
        <v>received_order_no</v>
      </c>
      <c r="D12" s="38" t="s">
        <v>208</v>
      </c>
      <c r="E12" s="32"/>
      <c r="F12" s="43">
        <v>10</v>
      </c>
      <c r="G12" s="43">
        <v>10</v>
      </c>
      <c r="H12" s="32"/>
      <c r="I12" s="32"/>
      <c r="J12" s="42" t="s">
        <v>137</v>
      </c>
      <c r="K12" s="38" t="s">
        <v>128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1">
        <f ca="1">COUNTIF(派生元項目KEY,A12)</f>
        <v>0</v>
      </c>
      <c r="O12" s="31">
        <f ca="1">COUNTIF(区分値項目KEY,A12)</f>
        <v>0</v>
      </c>
    </row>
    <row r="13" spans="1:15" ht="15" x14ac:dyDescent="0.55000000000000004">
      <c r="A13" s="38" t="s">
        <v>129</v>
      </c>
      <c r="B13" s="38" t="s">
        <v>135</v>
      </c>
      <c r="C13" s="26" t="str">
        <f t="shared" si="0"/>
        <v>order_detail_no</v>
      </c>
      <c r="D13" s="38" t="s">
        <v>130</v>
      </c>
      <c r="E13" s="32"/>
      <c r="F13" s="32"/>
      <c r="G13" s="32"/>
      <c r="H13" s="32"/>
      <c r="I13" s="32"/>
      <c r="J13" s="42" t="s">
        <v>232</v>
      </c>
      <c r="K13" s="38" t="s">
        <v>175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1">
        <f ca="1">COUNTIF(派生元項目KEY,A13)</f>
        <v>0</v>
      </c>
      <c r="O13" s="31">
        <f ca="1">COUNTIF(区分値項目KEY,A13)</f>
        <v>0</v>
      </c>
    </row>
    <row r="14" spans="1:15" ht="15" x14ac:dyDescent="0.55000000000000004">
      <c r="A14" s="38" t="s">
        <v>131</v>
      </c>
      <c r="B14" s="38" t="s">
        <v>170</v>
      </c>
      <c r="C14" s="26" t="str">
        <f t="shared" si="0"/>
        <v>person_in_charge</v>
      </c>
      <c r="D14" s="38" t="s">
        <v>138</v>
      </c>
      <c r="E14" s="40"/>
      <c r="F14" s="43"/>
      <c r="G14" s="43">
        <v>30</v>
      </c>
      <c r="H14" s="32"/>
      <c r="I14" s="32"/>
      <c r="J14" s="42" t="s">
        <v>139</v>
      </c>
      <c r="K14" s="38" t="s">
        <v>140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1">
        <f ca="1">COUNTIF(派生元項目KEY,A14)</f>
        <v>0</v>
      </c>
      <c r="O14" s="31">
        <f ca="1">COUNTIF(区分値項目KEY,A14)</f>
        <v>0</v>
      </c>
    </row>
    <row r="15" spans="1:15" ht="15" x14ac:dyDescent="0.55000000000000004">
      <c r="A15" s="38" t="s">
        <v>132</v>
      </c>
      <c r="B15" s="38" t="s">
        <v>136</v>
      </c>
      <c r="C15" s="26" t="str">
        <f t="shared" si="0"/>
        <v>user_id</v>
      </c>
      <c r="D15" s="38" t="s">
        <v>208</v>
      </c>
      <c r="E15" s="32"/>
      <c r="F15" s="43">
        <v>4</v>
      </c>
      <c r="G15" s="43">
        <v>4</v>
      </c>
      <c r="H15" s="32"/>
      <c r="I15" s="32"/>
      <c r="J15" s="42" t="s">
        <v>211</v>
      </c>
      <c r="K15" s="38" t="s">
        <v>141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1">
        <f ca="1">COUNTIF(派生元項目KEY,A15)</f>
        <v>2</v>
      </c>
      <c r="O15" s="31">
        <f ca="1">COUNTIF(区分値項目KEY,A15)</f>
        <v>0</v>
      </c>
    </row>
    <row r="16" spans="1:15" ht="15" x14ac:dyDescent="0.55000000000000004">
      <c r="A16" s="38" t="s">
        <v>206</v>
      </c>
      <c r="B16" s="38" t="s">
        <v>171</v>
      </c>
      <c r="C16" s="26" t="str">
        <f t="shared" si="0"/>
        <v>product_name</v>
      </c>
      <c r="D16" s="38" t="s">
        <v>138</v>
      </c>
      <c r="E16" s="40"/>
      <c r="F16" s="43"/>
      <c r="G16" s="43">
        <v>100</v>
      </c>
      <c r="H16" s="32"/>
      <c r="I16" s="32"/>
      <c r="J16" s="42" t="s">
        <v>176</v>
      </c>
      <c r="K16" s="38" t="s">
        <v>177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1">
        <f ca="1">COUNTIF(派生元項目KEY,A16)</f>
        <v>0</v>
      </c>
      <c r="O16" s="31">
        <f ca="1">COUNTIF(区分値項目KEY,A16)</f>
        <v>0</v>
      </c>
    </row>
    <row r="17" spans="1:15" ht="15" x14ac:dyDescent="0.55000000000000004">
      <c r="A17" s="38" t="s">
        <v>162</v>
      </c>
      <c r="B17" s="38" t="s">
        <v>226</v>
      </c>
      <c r="C17" s="26" t="str">
        <f t="shared" si="0"/>
        <v>customer_id</v>
      </c>
      <c r="D17" s="38" t="s">
        <v>208</v>
      </c>
      <c r="E17" s="32"/>
      <c r="F17" s="43">
        <v>3</v>
      </c>
      <c r="G17" s="43">
        <v>3</v>
      </c>
      <c r="H17" s="32"/>
      <c r="I17" s="32"/>
      <c r="J17" s="42" t="s">
        <v>178</v>
      </c>
      <c r="K17" s="38" t="s">
        <v>179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1">
        <f ca="1">COUNTIF(派生元項目KEY,A17)</f>
        <v>0</v>
      </c>
      <c r="O17" s="31">
        <f ca="1">COUNTIF(区分値項目KEY,A17)</f>
        <v>0</v>
      </c>
    </row>
    <row r="18" spans="1:15" ht="15" x14ac:dyDescent="0.55000000000000004">
      <c r="A18" s="38" t="s">
        <v>207</v>
      </c>
      <c r="B18" s="38" t="s">
        <v>227</v>
      </c>
      <c r="C18" s="26" t="str">
        <f t="shared" si="0"/>
        <v>customer_name</v>
      </c>
      <c r="D18" s="38" t="s">
        <v>138</v>
      </c>
      <c r="E18" s="40"/>
      <c r="F18" s="43"/>
      <c r="G18" s="43">
        <v>100</v>
      </c>
      <c r="H18" s="32"/>
      <c r="I18" s="32"/>
      <c r="J18" s="42" t="s">
        <v>180</v>
      </c>
      <c r="K18" s="38" t="s">
        <v>181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1">
        <f ca="1">COUNTIF(派生元項目KEY,A18)</f>
        <v>0</v>
      </c>
      <c r="O18" s="31">
        <f ca="1">COUNTIF(区分値項目KEY,A18)</f>
        <v>0</v>
      </c>
    </row>
    <row r="19" spans="1:15" ht="15" x14ac:dyDescent="0.55000000000000004">
      <c r="A19" s="38" t="s">
        <v>163</v>
      </c>
      <c r="B19" s="38" t="s">
        <v>172</v>
      </c>
      <c r="C19" s="26" t="str">
        <f t="shared" si="0"/>
        <v>is_working</v>
      </c>
      <c r="D19" s="38" t="s">
        <v>115</v>
      </c>
      <c r="E19" s="32"/>
      <c r="F19" s="32"/>
      <c r="G19" s="32"/>
      <c r="H19" s="32"/>
      <c r="I19" s="32"/>
      <c r="J19" s="42" t="s">
        <v>236</v>
      </c>
      <c r="K19" s="38" t="s">
        <v>182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1">
        <f ca="1">COUNTIF(派生元項目KEY,A19)</f>
        <v>0</v>
      </c>
      <c r="O19" s="31">
        <f ca="1">COUNTIF(区分値項目KEY,A19)</f>
        <v>0</v>
      </c>
    </row>
    <row r="20" spans="1:15" ht="15" x14ac:dyDescent="0.55000000000000004">
      <c r="A20" s="38" t="s">
        <v>166</v>
      </c>
      <c r="B20" s="38" t="s">
        <v>173</v>
      </c>
      <c r="C20" s="26" t="str">
        <f t="shared" si="0"/>
        <v>profit_rate</v>
      </c>
      <c r="D20" s="38" t="s">
        <v>91</v>
      </c>
      <c r="E20" s="32"/>
      <c r="F20" s="32"/>
      <c r="G20" s="32"/>
      <c r="H20" s="38"/>
      <c r="I20" s="38">
        <v>10</v>
      </c>
      <c r="J20" s="42" t="s">
        <v>233</v>
      </c>
      <c r="K20" s="38" t="s">
        <v>166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1">
        <f ca="1">COUNTIF(派生元項目KEY,A20)</f>
        <v>0</v>
      </c>
      <c r="O20" s="31">
        <f ca="1">COUNTIF(区分値項目KEY,A20)</f>
        <v>0</v>
      </c>
    </row>
    <row r="21" spans="1:15" ht="15" x14ac:dyDescent="0.55000000000000004">
      <c r="A21" s="38" t="s">
        <v>167</v>
      </c>
      <c r="B21" s="38" t="s">
        <v>174</v>
      </c>
      <c r="C21" s="26" t="str">
        <f t="shared" si="0"/>
        <v>exclude_report</v>
      </c>
      <c r="D21" s="38" t="s">
        <v>115</v>
      </c>
      <c r="E21" s="32"/>
      <c r="F21" s="32"/>
      <c r="G21" s="32"/>
      <c r="H21" s="32"/>
      <c r="I21" s="32"/>
      <c r="J21" s="42" t="s">
        <v>236</v>
      </c>
      <c r="K21" s="38" t="s">
        <v>183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1">
        <f ca="1">COUNTIF(派生元項目KEY,A21)</f>
        <v>0</v>
      </c>
      <c r="O21" s="31">
        <f ca="1">COUNTIF(区分値項目KEY,A21)</f>
        <v>0</v>
      </c>
    </row>
    <row r="22" spans="1:15" ht="15" x14ac:dyDescent="0.55000000000000004">
      <c r="A22" s="38" t="s">
        <v>188</v>
      </c>
      <c r="B22" s="38" t="s">
        <v>191</v>
      </c>
      <c r="C22" s="26" t="str">
        <f t="shared" si="0"/>
        <v>shipping_time</v>
      </c>
      <c r="D22" s="38" t="s">
        <v>189</v>
      </c>
      <c r="E22" s="40" t="s">
        <v>228</v>
      </c>
      <c r="F22" s="32"/>
      <c r="G22" s="32"/>
      <c r="H22" s="32"/>
      <c r="I22" s="32"/>
      <c r="J22" s="42" t="s">
        <v>237</v>
      </c>
      <c r="K22" s="38" t="s">
        <v>190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1">
        <f ca="1">COUNTIF(派生元項目KEY,A22)</f>
        <v>0</v>
      </c>
      <c r="O22" s="31">
        <f ca="1">COUNTIF(区分値項目KEY,A22)</f>
        <v>0</v>
      </c>
    </row>
    <row r="23" spans="1:15" ht="15" x14ac:dyDescent="0.55000000000000004">
      <c r="A23" s="38" t="s">
        <v>192</v>
      </c>
      <c r="B23" s="38" t="s">
        <v>195</v>
      </c>
      <c r="C23" s="26" t="str">
        <f t="shared" si="0"/>
        <v>is_active_customer</v>
      </c>
      <c r="D23" s="38" t="s">
        <v>115</v>
      </c>
      <c r="E23" s="32"/>
      <c r="F23" s="32"/>
      <c r="G23" s="32"/>
      <c r="H23" s="32"/>
      <c r="I23" s="32"/>
      <c r="J23" s="42" t="s">
        <v>236</v>
      </c>
      <c r="K23" s="38" t="s">
        <v>196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1">
        <f ca="1">COUNTIF(派生元項目KEY,A23)</f>
        <v>0</v>
      </c>
      <c r="O23" s="31">
        <f ca="1">COUNTIF(区分値項目KEY,A23)</f>
        <v>0</v>
      </c>
    </row>
    <row r="24" spans="1:15" ht="15" x14ac:dyDescent="0.55000000000000004">
      <c r="A24" s="38" t="s">
        <v>193</v>
      </c>
      <c r="B24" s="38" t="s">
        <v>222</v>
      </c>
      <c r="C24" s="26" t="str">
        <f t="shared" si="0"/>
        <v>customer_type</v>
      </c>
      <c r="D24" s="38" t="s">
        <v>210</v>
      </c>
      <c r="E24" s="32"/>
      <c r="F24" s="43"/>
      <c r="G24" s="38"/>
      <c r="H24" s="32"/>
      <c r="I24" s="32"/>
      <c r="J24" s="42" t="s">
        <v>197</v>
      </c>
      <c r="K24" s="38" t="s">
        <v>198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1">
        <f ca="1">COUNTIF(派生元項目KEY,A24)</f>
        <v>0</v>
      </c>
      <c r="O24" s="31">
        <f ca="1">COUNTIF(区分値項目KEY,A24)</f>
        <v>4</v>
      </c>
    </row>
    <row r="25" spans="1:15" ht="15" x14ac:dyDescent="0.55000000000000004">
      <c r="A25" s="38" t="s">
        <v>212</v>
      </c>
      <c r="B25" s="38" t="s">
        <v>215</v>
      </c>
      <c r="C25" s="26" t="str">
        <f t="shared" si="0"/>
        <v>approve_datetime</v>
      </c>
      <c r="D25" s="38" t="s">
        <v>217</v>
      </c>
      <c r="E25" s="32"/>
      <c r="F25" s="32"/>
      <c r="G25" s="32"/>
      <c r="H25" s="32"/>
      <c r="I25" s="32"/>
      <c r="J25" s="42" t="s">
        <v>218</v>
      </c>
      <c r="K25" s="38" t="s">
        <v>219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1">
        <f ca="1">COUNTIF(派生元項目KEY,A25)</f>
        <v>0</v>
      </c>
      <c r="O25" s="31">
        <f ca="1">COUNTIF(区分値項目KEY,A25)</f>
        <v>0</v>
      </c>
    </row>
    <row r="26" spans="1:15" ht="15" x14ac:dyDescent="0.55000000000000004">
      <c r="A26" s="38" t="s">
        <v>213</v>
      </c>
      <c r="B26" s="38" t="s">
        <v>216</v>
      </c>
      <c r="C26" s="26" t="str">
        <f t="shared" si="0"/>
        <v>emploee_no</v>
      </c>
      <c r="D26" s="38" t="s">
        <v>208</v>
      </c>
      <c r="E26" s="32"/>
      <c r="F26" s="43">
        <v>4</v>
      </c>
      <c r="G26" s="43">
        <v>4</v>
      </c>
      <c r="H26" s="32"/>
      <c r="I26" s="32"/>
      <c r="J26" s="42" t="s">
        <v>238</v>
      </c>
      <c r="K26" s="38" t="s">
        <v>213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1">
        <f ca="1">COUNTIF(派生元項目KEY,A26)</f>
        <v>0</v>
      </c>
      <c r="O26" s="31">
        <f ca="1">COUNTIF(区分値項目KEY,A26)</f>
        <v>0</v>
      </c>
    </row>
    <row r="27" spans="1:15" ht="15" x14ac:dyDescent="0.55000000000000004">
      <c r="A27" s="38" t="s">
        <v>221</v>
      </c>
      <c r="B27" s="38" t="s">
        <v>223</v>
      </c>
      <c r="C27" s="26" t="str">
        <f t="shared" si="0"/>
        <v>log_id</v>
      </c>
      <c r="D27" s="38" t="s">
        <v>220</v>
      </c>
      <c r="E27" s="32"/>
      <c r="F27" s="32"/>
      <c r="G27" s="32"/>
      <c r="H27" s="32"/>
      <c r="I27" s="32"/>
      <c r="J27" s="42" t="s">
        <v>224</v>
      </c>
      <c r="K27" s="38" t="s">
        <v>225</v>
      </c>
      <c r="L27" s="26" t="str">
        <f>IFERROR(VLOOKUP(D27,ドメインタイプDATA,6,FALSE)&amp;"","")</f>
        <v>string</v>
      </c>
      <c r="M27" s="26" t="str">
        <f>IFERROR(VLOOKUP(D27,ドメインタイプDATA,7,FALSE)&amp;"","")</f>
        <v>uuid</v>
      </c>
      <c r="N27" s="31">
        <f ca="1">COUNTIF(派生元項目KEY,A27)</f>
        <v>0</v>
      </c>
      <c r="O27" s="31">
        <f ca="1">COUNTIF(区分値項目KEY,A27)</f>
        <v>0</v>
      </c>
    </row>
    <row r="28" spans="1:15" ht="15" x14ac:dyDescent="0.55000000000000004">
      <c r="A28" s="38"/>
      <c r="B28" s="38"/>
      <c r="C28" s="26" t="str">
        <f t="shared" si="0"/>
        <v/>
      </c>
      <c r="D28" s="38"/>
      <c r="E28" s="38"/>
      <c r="F28" s="38"/>
      <c r="G28" s="38"/>
      <c r="H28" s="38"/>
      <c r="I28" s="38"/>
      <c r="J28" s="42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1">
        <f ca="1">COUNTIF(派生元項目KEY,A28)</f>
        <v>0</v>
      </c>
      <c r="O28" s="31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0"/>
        <v/>
      </c>
      <c r="D29" s="38"/>
      <c r="E29" s="38"/>
      <c r="F29" s="38"/>
      <c r="G29" s="38"/>
      <c r="H29" s="38"/>
      <c r="I29" s="38"/>
      <c r="J29" s="42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1">
        <f ca="1">COUNTIF(派生元項目KEY,A29)</f>
        <v>0</v>
      </c>
      <c r="O29" s="31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0"/>
        <v/>
      </c>
      <c r="D30" s="38"/>
      <c r="E30" s="38"/>
      <c r="F30" s="38"/>
      <c r="G30" s="38"/>
      <c r="H30" s="38"/>
      <c r="I30" s="38"/>
      <c r="J30" s="42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1">
        <f ca="1">COUNTIF(派生元項目KEY,A30)</f>
        <v>0</v>
      </c>
      <c r="O30" s="31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0"/>
        <v/>
      </c>
      <c r="D31" s="38"/>
      <c r="E31" s="38"/>
      <c r="F31" s="38"/>
      <c r="G31" s="38"/>
      <c r="H31" s="38"/>
      <c r="I31" s="38"/>
      <c r="J31" s="42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1">
        <f ca="1">COUNTIF(派生元項目KEY,A31)</f>
        <v>0</v>
      </c>
      <c r="O31" s="31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0"/>
        <v/>
      </c>
      <c r="D32" s="38"/>
      <c r="E32" s="38"/>
      <c r="F32" s="38"/>
      <c r="G32" s="38"/>
      <c r="H32" s="38"/>
      <c r="I32" s="38"/>
      <c r="J32" s="42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1">
        <f ca="1">COUNTIF(派生元項目KEY,A32)</f>
        <v>0</v>
      </c>
      <c r="O32" s="31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0"/>
        <v/>
      </c>
      <c r="D33" s="38"/>
      <c r="E33" s="38"/>
      <c r="F33" s="38"/>
      <c r="G33" s="38"/>
      <c r="H33" s="38"/>
      <c r="I33" s="38"/>
      <c r="J33" s="42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1">
        <f ca="1">COUNTIF(派生元項目KEY,A33)</f>
        <v>0</v>
      </c>
      <c r="O33" s="31">
        <f ca="1">COUNTIF(区分値項目KEY,A33)</f>
        <v>0</v>
      </c>
    </row>
    <row r="34" spans="1:15" ht="15" x14ac:dyDescent="0.55000000000000004">
      <c r="A34" s="38"/>
      <c r="B34" s="38"/>
      <c r="C34" s="26" t="str">
        <f t="shared" ref="C34:C65" si="1">camel2snake(B34)</f>
        <v/>
      </c>
      <c r="D34" s="38"/>
      <c r="E34" s="38"/>
      <c r="F34" s="38"/>
      <c r="G34" s="38"/>
      <c r="H34" s="38"/>
      <c r="I34" s="38"/>
      <c r="J34" s="42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1">
        <f ca="1">COUNTIF(派生元項目KEY,A34)</f>
        <v>0</v>
      </c>
      <c r="O34" s="31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2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1">
        <f ca="1">COUNTIF(派生元項目KEY,A35)</f>
        <v>0</v>
      </c>
      <c r="O35" s="31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2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1">
        <f ca="1">COUNTIF(派生元項目KEY,A36)</f>
        <v>0</v>
      </c>
      <c r="O36" s="31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2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1">
        <f ca="1">COUNTIF(派生元項目KEY,A37)</f>
        <v>0</v>
      </c>
      <c r="O37" s="31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2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1">
        <f ca="1">COUNTIF(派生元項目KEY,A38)</f>
        <v>0</v>
      </c>
      <c r="O38" s="31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2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1">
        <f ca="1">COUNTIF(派生元項目KEY,A39)</f>
        <v>0</v>
      </c>
      <c r="O39" s="31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2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1">
        <f ca="1">COUNTIF(派生元項目KEY,A40)</f>
        <v>0</v>
      </c>
      <c r="O40" s="31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2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1">
        <f ca="1">COUNTIF(派生元項目KEY,A41)</f>
        <v>0</v>
      </c>
      <c r="O41" s="31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2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1">
        <f ca="1">COUNTIF(派生元項目KEY,A42)</f>
        <v>0</v>
      </c>
      <c r="O42" s="31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2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1">
        <f ca="1">COUNTIF(派生元項目KEY,A43)</f>
        <v>0</v>
      </c>
      <c r="O43" s="31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2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1">
        <f ca="1">COUNTIF(派生元項目KEY,A44)</f>
        <v>0</v>
      </c>
      <c r="O44" s="31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2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1">
        <f ca="1">COUNTIF(派生元項目KEY,A45)</f>
        <v>0</v>
      </c>
      <c r="O45" s="31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2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1">
        <f ca="1">COUNTIF(派生元項目KEY,A46)</f>
        <v>0</v>
      </c>
      <c r="O46" s="31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2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1">
        <f ca="1">COUNTIF(派生元項目KEY,A47)</f>
        <v>0</v>
      </c>
      <c r="O47" s="31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2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1">
        <f ca="1">COUNTIF(派生元項目KEY,A48)</f>
        <v>0</v>
      </c>
      <c r="O48" s="31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2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1">
        <f ca="1">COUNTIF(派生元項目KEY,A49)</f>
        <v>0</v>
      </c>
      <c r="O49" s="31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2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1">
        <f ca="1">COUNTIF(派生元項目KEY,A50)</f>
        <v>0</v>
      </c>
      <c r="O50" s="31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2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1">
        <f ca="1">COUNTIF(派生元項目KEY,A51)</f>
        <v>0</v>
      </c>
      <c r="O51" s="31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2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1">
        <f ca="1">COUNTIF(派生元項目KEY,A52)</f>
        <v>0</v>
      </c>
      <c r="O52" s="31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2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1">
        <f ca="1">COUNTIF(派生元項目KEY,A53)</f>
        <v>0</v>
      </c>
      <c r="O53" s="31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2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1">
        <f ca="1">COUNTIF(派生元項目KEY,A54)</f>
        <v>0</v>
      </c>
      <c r="O54" s="31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2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1">
        <f ca="1">COUNTIF(派生元項目KEY,A55)</f>
        <v>0</v>
      </c>
      <c r="O55" s="31">
        <f ca="1">COUNTIF(区分値項目KEY,A55)</f>
        <v>0</v>
      </c>
    </row>
    <row r="56" spans="1:15" ht="15" x14ac:dyDescent="0.55000000000000004">
      <c r="A56" s="38"/>
      <c r="B56" s="38"/>
      <c r="C56" s="26" t="str">
        <f t="shared" si="1"/>
        <v/>
      </c>
      <c r="D56" s="38"/>
      <c r="E56" s="38"/>
      <c r="F56" s="38"/>
      <c r="G56" s="38"/>
      <c r="H56" s="38"/>
      <c r="I56" s="38"/>
      <c r="J56" s="42"/>
      <c r="K56" s="38"/>
      <c r="L56" s="26" t="str">
        <f>IFERROR(VLOOKUP(D56,ドメインタイプDATA,6,FALSE)&amp;"","")</f>
        <v/>
      </c>
      <c r="M56" s="26" t="str">
        <f>IFERROR(VLOOKUP(D56,ドメインタイプDATA,7,FALSE)&amp;"","")</f>
        <v/>
      </c>
      <c r="N56" s="31">
        <f ca="1">COUNTIF(派生元項目KEY,A56)</f>
        <v>0</v>
      </c>
      <c r="O56" s="31">
        <f ca="1">COUNTIF(区分値項目KEY,A56)</f>
        <v>0</v>
      </c>
    </row>
    <row r="57" spans="1:15" ht="15" x14ac:dyDescent="0.55000000000000004">
      <c r="A57" s="39"/>
      <c r="B57" s="39"/>
      <c r="C57" s="36" t="str">
        <f t="shared" si="1"/>
        <v/>
      </c>
      <c r="D57" s="39"/>
      <c r="E57" s="39"/>
      <c r="F57" s="39"/>
      <c r="G57" s="39"/>
      <c r="H57" s="39"/>
      <c r="I57" s="39"/>
      <c r="J57" s="41"/>
      <c r="K57" s="39"/>
      <c r="L57" s="36" t="str">
        <f>IFERROR(VLOOKUP(D57,ドメインタイプDATA,6,FALSE)&amp;"","")</f>
        <v/>
      </c>
      <c r="M57" s="36" t="str">
        <f>IFERROR(VLOOKUP(D57,ドメインタイプDATA,7,FALSE)&amp;"","")</f>
        <v/>
      </c>
      <c r="N57" s="37">
        <f ca="1">COUNTIF(派生元項目KEY,A57)</f>
        <v>0</v>
      </c>
      <c r="O57" s="37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 s="44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 s="44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 s="44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 s="44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 s="44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 s="44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 s="4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 s="44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 s="44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 s="44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 s="44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 s="44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 s="44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 s="44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 s="44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 s="44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 s="4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 s="44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 s="44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 s="44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 s="44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 s="44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 s="44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 s="44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 s="44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 s="44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 s="4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 s="44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 s="44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 s="44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 s="44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 s="44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 s="44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 s="44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 s="44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 s="44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 s="4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 s="44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 s="44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 s="44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 s="44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 s="44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 s="44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 s="44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 s="44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 s="44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 s="4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 s="44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 s="44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 s="44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 s="44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 s="44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 s="44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 s="44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 s="44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 s="44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 s="4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 s="44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 s="44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 s="44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 s="44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 s="44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 s="44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 s="44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 s="44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 s="44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 s="4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 s="44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 s="44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 s="44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 s="44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 s="44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 s="44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 s="44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 s="44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 s="44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 s="4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 s="44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 s="44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 s="44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 s="44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 s="44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 s="44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 s="44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 s="44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 s="44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 s="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 s="44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 s="44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 s="44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 s="44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 s="44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 s="44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 s="44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 s="44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 s="44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 s="4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 s="44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 s="44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 s="44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 s="44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 s="44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 s="44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 s="44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 s="44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 s="44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 s="4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 s="44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 s="44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 s="44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 s="44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 s="44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 s="44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 s="44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 s="44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 s="44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 s="4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 s="44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 s="44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 s="44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 s="44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 s="44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 s="44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 s="44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 s="44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 s="44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 s="4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 s="44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 s="44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 s="44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 s="44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 s="44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 s="44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 s="44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 s="44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 s="44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 s="4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 s="44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 s="44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 s="44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 s="44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 s="44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 s="44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 s="44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 s="44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 s="44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 s="4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 s="44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 s="44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 s="44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 s="44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 s="44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 s="44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 s="44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 s="44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 s="44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 s="4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 s="44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 s="44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 s="44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 s="44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 s="44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 s="44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 s="44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 s="44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 s="44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 s="4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 s="44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 s="44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 s="44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 s="44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 s="44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 s="44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 s="44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 s="44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 s="44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 s="4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 s="44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 s="44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 s="44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 s="44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 s="44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 s="44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 s="44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 s="44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 s="44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 s="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 s="44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 s="44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 s="44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 s="44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 s="44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 s="44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 s="44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 s="44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 s="44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 s="4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 s="44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 s="44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 s="44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 s="44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 s="44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 s="44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 s="44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 s="44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 s="44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 s="4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 s="44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 s="44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 s="44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 s="44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 s="44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 s="44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 s="44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 s="44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 s="44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 s="4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 s="44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 s="44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 s="44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 s="44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 s="44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 s="44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 s="44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 s="44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 s="44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 s="4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 s="44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 s="44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 s="44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 s="44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 s="44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 s="44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 s="44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 s="44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 s="44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 s="4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 s="44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 s="44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 s="44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 s="44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 s="44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 s="44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 s="44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 s="44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 s="44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 s="4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 s="44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 s="44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 s="44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 s="44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 s="44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 s="44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 s="44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 s="44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 s="44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 s="4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 s="44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 s="44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 s="44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 s="44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 s="44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 s="44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 s="44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 s="44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 s="44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 s="4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 s="44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 s="44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 s="44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 s="44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 s="44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 s="44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 s="44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 s="44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 s="44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 s="4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 s="44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 s="44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 s="44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 s="44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 s="44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 s="44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 s="44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 s="44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 s="44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 s="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 s="44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 s="44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 s="44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 s="44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 s="44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 s="44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 s="44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 s="44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 s="44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 s="4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 s="44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 s="44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 s="44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 s="44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 s="44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 s="44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 s="44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 s="44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 s="44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 s="4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 s="44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 s="44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 s="44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 s="44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 s="44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 s="44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 s="44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 s="44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 s="44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 s="4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 s="44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 s="44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 s="44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 s="44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 s="44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 s="44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 s="44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 s="44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 s="44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 s="4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 s="44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 s="44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 s="44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 s="44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 s="44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 s="44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 s="44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 s="44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 s="44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 s="4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 s="44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 s="44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 s="44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 s="44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 s="44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 s="44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 s="44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 s="44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 s="44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 s="4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 s="44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 s="44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 s="44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 s="44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 s="44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 s="44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 s="44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 s="44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 s="44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 s="4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 s="44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 s="44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 s="44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 s="44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 s="44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 s="44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 s="44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 s="44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 s="44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 s="4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 s="44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 s="44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 s="44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 s="44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 s="44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 s="44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 s="44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 s="44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 s="44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 s="4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 s="44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 s="44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 s="44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 s="44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 s="44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 s="44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 s="44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 s="44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 s="44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 s="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 s="44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 s="44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 s="44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 s="44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 s="44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 s="44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 s="44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 s="44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 s="44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 s="4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 s="44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 s="44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 s="44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 s="44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 s="44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 s="44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 s="44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 s="44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 s="44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 s="4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 s="44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 s="44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 s="44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 s="44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 s="44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 s="44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 s="44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 s="44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 s="44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 s="4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 s="44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 s="44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 s="44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 s="44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 s="44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 s="44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 s="44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 s="44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 s="44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 s="4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 s="44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 s="44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 s="44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 s="44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 s="44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 s="44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 s="44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 s="44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 s="44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 s="4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 s="44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 s="44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 s="44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 s="44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 s="44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 s="44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 s="44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 s="44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 s="44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 s="4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 s="44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 s="44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 s="44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 s="44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 s="44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 s="44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 s="44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 s="44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 s="44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 s="4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 s="44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 s="44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 s="44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 s="44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 s="44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 s="44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 s="44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 s="44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 s="44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 s="4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 s="44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 s="44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 s="44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 s="44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 s="44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 s="44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 s="44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 s="44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 s="44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 s="4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 s="44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 s="44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 s="44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 s="44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 s="44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 s="44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 s="44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 s="44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 s="44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 s="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 s="44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 s="44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 s="44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 s="44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 s="44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 s="44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 s="44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 s="44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 s="44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 s="4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 s="44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 s="44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 s="44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 s="44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 s="44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 s="44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 s="44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 s="44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 s="44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 s="4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 s="44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 s="44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 s="44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 s="44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 s="44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 s="44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 s="44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 s="44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 s="44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 s="4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 s="44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 s="44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 s="44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 s="44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 s="44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 s="44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 s="44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 s="44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 s="44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 s="4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 s="44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 s="44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 s="44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 s="44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 s="44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 s="44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 s="44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 s="44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 s="44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 s="4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 s="44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 s="44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 s="44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 s="44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 s="44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 s="44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 s="44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 s="44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 s="44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 s="4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 s="44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 s="44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 s="44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 s="44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 s="44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 s="44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 s="44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 s="44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 s="44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 s="4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 s="44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 s="44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 s="44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 s="44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 s="44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 s="44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 s="44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 s="44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 s="44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 s="4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 s="44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 s="44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 s="44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 s="44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 s="44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 s="44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 s="44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 s="44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 s="44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 s="4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 s="44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 s="44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 s="44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 s="44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 s="44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 s="44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 s="44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 s="44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 s="44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 s="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 s="44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 s="44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 s="44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 s="44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 s="44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 s="44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 s="44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 s="44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 s="44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 s="4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 s="44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 s="44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 s="44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 s="44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 s="44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 s="44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 s="44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 s="44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 s="44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 s="4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 s="44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 s="44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 s="44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 s="44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 s="44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 s="44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 s="44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 s="44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 s="44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 s="4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 s="44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 s="44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 s="44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 s="44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 s="44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 s="44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 s="44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 s="44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 s="44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 s="4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 s="44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 s="44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 s="44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 s="44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 s="44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 s="44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 s="44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 s="44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 s="44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 s="4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 s="44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 s="44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 s="44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 s="44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 s="44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 s="44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 s="44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 s="44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 s="44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 s="4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 s="44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 s="44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 s="44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 s="44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 s="44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 s="44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 s="44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 s="44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 s="44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 s="4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 s="44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 s="44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 s="44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 s="44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 s="44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 s="44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 s="44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 s="44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 s="44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 s="4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 s="44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 s="44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 s="44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 s="44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 s="44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 s="44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 s="44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 s="44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 s="44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 s="4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 s="44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 s="44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 s="44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 s="44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 s="44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 s="44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 s="44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 s="44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 s="44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 s="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 s="44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 s="44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 s="44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 s="44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 s="44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 s="44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 s="44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 s="44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 s="44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 s="4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 s="44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 s="44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 s="44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 s="44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 s="44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 s="44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 s="44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 s="44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 s="44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 s="4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 s="44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 s="44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 s="44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 s="44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 s="44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 s="44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 s="44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 s="44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 s="44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 s="4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 s="44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 s="44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 s="44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 s="44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 s="44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 s="44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 s="44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 s="44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 s="44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 s="4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 s="44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 s="44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 s="44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 s="44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 s="44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 s="44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 s="44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 s="44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 s="44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 s="4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 s="44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 s="44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 s="44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 s="44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 s="44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 s="44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 s="44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 s="44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 s="44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 s="4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 s="44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 s="44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 s="44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 s="44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 s="44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 s="44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 s="44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 s="44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 s="44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 s="4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 s="44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 s="44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 s="44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 s="44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 s="44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 s="44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 s="44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 s="44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 s="44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 s="4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 s="44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 s="44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 s="44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 s="44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 s="44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 s="44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 s="44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 s="44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 s="44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 s="4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 s="44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 s="44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 s="44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 s="44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 s="44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 s="44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 s="44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 s="44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 s="44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 s="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 s="44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 s="44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 s="44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 s="44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 s="44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 s="44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 s="44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 s="44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 s="44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 s="4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 s="44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 s="44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 s="44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 s="44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 s="44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 s="44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 s="44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 s="44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 s="44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 s="4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 s="44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 s="44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 s="44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 s="44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 s="44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 s="44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 s="44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 s="44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 s="44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 s="4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 s="44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 s="44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 s="44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 s="44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 s="44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 s="44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 s="44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 s="44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 s="44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 s="4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 s="44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 s="44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 s="44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 s="44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 s="44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 s="44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 s="44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 s="44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 s="44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 s="4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 s="44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 s="44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 s="44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 s="44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 s="44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 s="44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 s="44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 s="44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 s="44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 s="4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 s="44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 s="44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 s="44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 s="44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 s="44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 s="44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 s="44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 s="44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 s="44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 s="4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 s="44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 s="44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 s="44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 s="44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 s="44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 s="44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 s="44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 s="44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 s="44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 s="4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 s="44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 s="44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 s="44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 s="44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 s="44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 s="44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 s="44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 s="44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 s="44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 s="4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 s="44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 s="44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 s="44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 s="44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 s="44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 s="44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 s="44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 s="44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 s="44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 s="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 s="44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 s="44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 s="44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 s="44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 s="44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 s="44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 s="44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 s="44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 s="44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 s="4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 s="44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 s="44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 s="44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 s="44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 s="44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 s="44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 s="44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 s="44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 s="44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 s="4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 s="44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 s="44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 s="44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 s="44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 s="44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 s="44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 s="44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 s="44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 s="44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 s="4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 s="44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 s="44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 s="44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 s="44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 s="44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 s="44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 s="44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 s="44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 s="44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 s="4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 s="44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 s="44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 s="44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 s="44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 s="44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 s="44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 s="44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 s="44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 s="44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 s="4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 s="44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 s="44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 s="44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 s="44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 s="44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 s="44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 s="44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 s="44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 s="44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 s="4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 s="44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 s="44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 s="44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 s="44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 s="44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 s="44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 s="44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 s="44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 s="44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 s="4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 s="44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 s="44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 s="44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 s="44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 s="44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 s="44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 s="44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 s="44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 s="44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 s="4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 s="44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 s="44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 s="44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 s="44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 s="44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 s="44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 s="44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 s="44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 s="44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 s="4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 s="44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 s="44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 s="44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 s="44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 s="44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 s="44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 s="44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 s="44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 s="44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 s="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 s="44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 s="44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 s="44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 s="44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 s="44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 s="44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 s="44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 s="44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 s="44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 s="4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 s="44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 s="44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 s="44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 s="44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 s="44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 s="44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 s="44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 s="44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 s="44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 s="4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 s="44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 s="44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 s="44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 s="44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 s="44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 s="44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 s="44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 s="44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 s="44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 s="4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 s="44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 s="44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 s="44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 s="44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 s="44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 s="44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 s="44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 s="44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 s="44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 s="4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 s="44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 s="44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 s="44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 s="44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 s="44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 s="44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 s="44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 s="44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 s="44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 s="4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 s="44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 s="44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 s="44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 s="44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 s="44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 s="44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 s="44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 s="44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 s="44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 s="4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 s="44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 s="44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 s="44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 s="44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 s="44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 s="44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 s="44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 s="44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 s="44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 s="4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 s="44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 s="44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 s="44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 s="44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 s="44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 s="44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 s="44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 s="44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 s="44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 s="4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 s="44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 s="44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 s="44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 s="44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 s="44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 s="44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 s="44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 s="44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 s="44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 s="4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 s="44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 s="44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 s="44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 s="44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 s="44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 s="44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 s="44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 s="44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 s="44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 s="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 s="44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 s="44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 s="44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 s="44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 s="44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 s="44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 s="44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 s="44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 s="44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 s="4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 s="44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 s="44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 s="44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 s="44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 s="44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 s="44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 s="44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 s="44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 s="44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 s="4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 s="44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 s="44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 s="44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 s="44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 s="44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 s="44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 s="44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 s="44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 s="44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 s="4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 s="44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 s="44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 s="44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 s="44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 s="44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 s="44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 s="44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 s="44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 s="44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 s="4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 s="44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 s="44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 s="44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 s="44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 s="44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 s="44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 s="44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 s="44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 s="44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 s="4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 s="44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 s="44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 s="44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 s="44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 s="44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 s="44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 s="44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 s="44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 s="44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 s="4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 s="44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 s="44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 s="44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 s="44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 s="44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 s="44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 s="44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 s="44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 s="44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 s="4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 s="44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 s="44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 s="44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 s="44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 s="44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 s="44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 s="44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 s="44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 s="44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 s="4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 s="44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 s="44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 s="44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 s="44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 s="44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 s="44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 s="44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 s="44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 s="44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 s="4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 s="44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 s="44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 s="44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 s="44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 s="44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 s="44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 s="44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 s="44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 s="44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 s="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 s="44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 s="44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 s="44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 s="44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 s="44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 s="44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 s="44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 s="44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 s="44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 s="4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 s="44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 s="44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 s="44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 s="44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 s="44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 s="44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 s="44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 s="44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 s="44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 s="4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 s="44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 s="44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 s="44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 s="44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 s="44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 s="44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 s="44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 s="44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 s="44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 s="4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 s="44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 s="44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 s="44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 s="44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 s="44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 s="44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 s="44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 s="44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 s="44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 s="4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 s="44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 s="44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 s="44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 s="44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 s="44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 s="44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 s="44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 s="44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 s="44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 s="4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 s="44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 s="44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 s="44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 s="44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 s="44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 s="44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 s="44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 s="44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 s="44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 s="4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 s="44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 s="44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 s="44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 s="44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 s="44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 s="44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 s="44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 s="44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 s="44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 s="4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 s="44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 s="44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 s="44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 s="44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 s="44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 s="44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 s="44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 s="44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 s="44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 s="4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 s="44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 s="44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 s="44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 s="44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 s="44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 s="44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 s="44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 s="44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 s="44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 s="4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 s="44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 s="44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 s="44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 s="44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 s="44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 s="44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 s="44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 s="44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 s="44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 s="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 s="44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 s="44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 s="44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 s="44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 s="44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 s="44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 s="44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 s="44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 s="44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 s="4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 s="44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 s="44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 s="44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 s="44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 s="44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 s="44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 s="44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 s="44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 s="44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 s="4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 s="44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 s="44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 s="44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 s="44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 s="44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 s="44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 s="44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 s="44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 s="44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 s="4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 s="44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 s="44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 s="44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 s="44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 s="44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 s="44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 s="44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 s="44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 s="44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 s="4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 s="44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 s="44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 s="44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 s="44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 s="44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 s="44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 s="44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 s="44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 s="44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 s="4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 s="44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 s="44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 s="44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 s="44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 s="44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 s="44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 s="44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 s="44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 s="44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 s="4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 s="44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 s="44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 s="44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 s="44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 s="44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 s="44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 s="44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 s="44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 s="44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 s="4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 s="44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 s="44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 s="44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 s="44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 s="44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 s="44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 s="44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 s="44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 s="44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 s="4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 s="44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 s="44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 s="44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 s="44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 s="44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 s="44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 s="44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 s="44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 s="44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 s="4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 s="44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 s="44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 s="44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 s="44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 s="44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 s="44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 s="44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 s="44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 s="44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 s="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 s="44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 s="44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 s="44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 s="44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 s="44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 s="44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 s="44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 s="44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 s="44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 s="4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 s="44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 s="44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 s="44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 s="44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 s="44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 s="44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 s="44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 s="44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 s="44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 s="4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 s="44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 s="44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 s="44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 s="44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 s="44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 s="44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 s="44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 s="44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 s="44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 s="4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 s="44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 s="44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 s="44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 s="44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 s="44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 s="44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 s="44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 s="44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 s="44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 s="4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 s="44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 s="44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 s="44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 s="44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 s="44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 s="44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 s="44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 s="44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 s="44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 s="4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 s="44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 s="44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 s="44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 s="44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 s="44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 s="44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 s="44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 s="44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 s="44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 s="4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 s="44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 s="44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 s="44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 s="44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 s="44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 s="44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 s="44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 s="44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 s="44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 s="4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 s="44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 s="44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 s="44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 s="44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 s="44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 s="44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 s="44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 s="44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 s="44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 s="4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 s="44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 s="44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 s="44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 s="44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 s="44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 s="44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 s="44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 s="44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 s="44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 s="4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 s="44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 s="44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 s="44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 s="44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 s="44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 s="44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 s="44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 s="44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 s="44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 s="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 s="44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 s="44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 s="44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 s="44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 s="44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 s="44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 s="44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 s="44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 s="44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 s="4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 s="44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 s="44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 s="44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 s="44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 s="44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 s="44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 s="44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 s="44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 s="44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 s="4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 s="44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 s="44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 s="44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 s="44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 s="44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 s="44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 s="44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 s="44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 s="44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 s="4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 s="44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 s="44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 s="44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 s="44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 s="44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 s="44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 s="44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 s="44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 s="44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 s="4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 s="44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 s="44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 s="44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 s="44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 s="44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 s="44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 s="44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 s="44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 s="44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 s="4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 s="44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 s="44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 s="44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 s="44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 s="44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 s="44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 s="44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 s="44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 s="44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 s="4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 s="44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 s="44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 s="44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 s="44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 s="44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 s="44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 s="44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 s="44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 s="44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 s="4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 s="44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 s="44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 s="44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 s="44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 s="44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 s="44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 s="44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 s="44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 s="44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 s="4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 s="44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 s="44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 s="44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 s="44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 s="44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 s="44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 s="44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 s="44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 s="44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 s="4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 s="44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 s="44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 s="44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 s="44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 s="44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 s="44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 s="44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 s="44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 s="44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 s="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 s="44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 s="44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 s="44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 s="44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 s="44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 s="44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 s="44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 s="44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 s="44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 s="4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 s="44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 s="44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 s="44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 s="44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 s="44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 s="44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 s="44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 s="44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 s="44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 s="4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 s="44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 s="44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 s="44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 s="44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 s="44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 s="44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 s="44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 s="44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 s="44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 s="4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 s="44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 s="44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 s="44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 s="44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 s="44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 s="44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 s="44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 s="44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 s="44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 s="4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 s="44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 s="44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 s="44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 s="44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 s="44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 s="44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 s="44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 s="44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 s="44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 s="4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 s="44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 s="44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 s="44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 s="44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 s="44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 s="44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 s="44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 s="44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 s="44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 s="4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 s="44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 s="44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 s="44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 s="44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 s="44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 s="44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 s="44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 s="44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 s="44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 s="4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 s="44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 s="44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 s="44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 s="44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 s="44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 s="44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 s="44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 s="44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 s="44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 s="4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 s="44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 s="44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 s="44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 s="44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 s="44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 s="44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 s="44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 s="44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 s="44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 s="4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 s="44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 s="44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 s="44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 s="44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 s="44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 s="44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 s="44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 s="44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 s="44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 s="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 s="44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 s="44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 s="44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 s="44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 s="44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 s="44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 s="44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 s="44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 s="44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 s="4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 s="44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 s="44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 s="44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 s="44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 s="44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 s="44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 s="44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 s="44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 s="44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 s="4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 s="44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 s="44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 s="44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 s="44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 s="44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 s="44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 s="44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 s="44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 s="44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 s="4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 s="44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 s="44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 s="44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 s="44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 s="44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 s="44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 s="44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 s="44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 s="44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 s="4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 s="44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 s="44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 s="44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 s="44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 s="44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 s="44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 s="44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 s="44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 s="44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 s="4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 s="44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 s="44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 s="44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 s="44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 s="44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 s="44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 s="44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 s="44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 s="44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 s="4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 s="44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 s="44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 s="44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 s="44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 s="44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 s="44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 s="44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 s="44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 s="44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 s="4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 s="44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 s="44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 s="44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 s="44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 s="44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 s="44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 s="44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 s="44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 s="44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 s="4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 s="44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 s="44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 s="44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 s="44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 s="44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 s="44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 s="44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 s="44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 s="44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 s="4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 s="44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 s="44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 s="44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 s="44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 s="44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 s="44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 s="44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 s="44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 s="44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 s="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 s="44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 s="44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 s="44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 s="44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 s="44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 s="44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 s="44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 s="44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 s="44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 s="4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 s="44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 s="44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 s="44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 s="44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 s="44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 s="44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 s="44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 s="44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 s="44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 s="4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 s="44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 s="44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 s="44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 s="44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 s="44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 s="44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 s="44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 s="44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 s="44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 s="4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 s="44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 s="44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 s="44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 s="44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 s="44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 s="44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 s="44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 s="44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 s="44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 s="4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 s="44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 s="44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 s="44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 s="44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 s="44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 s="44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 s="44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 s="44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 s="44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 s="4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 s="44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 s="44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 s="44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 s="44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 s="44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 s="44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 s="44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 s="44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 s="44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 s="4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 s="44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 s="44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 s="44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 s="44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 s="44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 s="44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 s="44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 s="44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 s="44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 s="4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 s="44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 s="44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 s="44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 s="44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 s="44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 s="44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 s="44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 s="44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 s="44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 s="4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 s="44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 s="44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 s="44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 s="44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 s="44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 s="44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 s="44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 s="44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 s="44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 s="4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 s="44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 s="44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 s="44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 s="44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 s="44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 s="44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 s="44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 s="44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 s="44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 s="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 s="44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 s="44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 s="44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 s="44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 s="44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 s="44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 s="44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 s="44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 s="44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 s="4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 s="44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 s="44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 s="44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 s="44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 s="44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 s="44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 s="44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 s="44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 s="44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 s="4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 s="44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 s="44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 s="44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 s="44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 s="44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 s="44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 s="44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 s="44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 s="44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 s="4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 s="44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 s="44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 s="44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 s="44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 s="44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 s="44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 s="44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 s="44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 s="44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 s="4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 s="44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 s="44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 s="44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 s="44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 s="44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 s="44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 s="44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 s="44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 s="44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 s="44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 s="44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 s="44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 s="44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 s="44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 s="44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 s="44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 s="44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 s="44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 s="44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 s="44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 s="44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 s="44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 s="44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 s="44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 s="44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 s="44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 s="44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 s="44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 s="44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 s="44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 s="44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 s="44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 s="44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 s="44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 s="44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 s="44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 s="44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 s="44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 s="44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 s="44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 s="44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 s="44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 s="44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 s="44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 s="44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 s="44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 s="44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 s="44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 s="44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 s="44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 s="44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 s="44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 s="44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 s="44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 s="44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 s="44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 s="44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 s="44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 s="44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 s="44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 s="44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 s="44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 s="44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 s="44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 s="44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 s="44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 s="44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 s="44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 s="44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 s="44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 s="44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 s="44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 s="44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 s="44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 s="44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 s="44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 s="44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 s="44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 s="44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 s="44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 s="44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 s="44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 s="44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 s="44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 s="44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 s="44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 s="44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 s="44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 s="44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 s="44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 s="44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 s="44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 s="44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 s="44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 s="44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 s="44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 s="44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 s="44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 s="44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 s="44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 s="44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 s="44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 s="44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 s="44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 s="44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 s="44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 s="44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 s="44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 s="44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 s="44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 s="44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 s="44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 s="44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 s="44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 s="44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 s="44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 s="44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 s="44"/>
      <c r="K2102"/>
      <c r="L2102"/>
      <c r="M2102"/>
      <c r="N2102"/>
      <c r="O2102"/>
    </row>
    <row r="2103" spans="1:15" ht="18" x14ac:dyDescent="0.55000000000000004">
      <c r="A2103"/>
      <c r="B2103"/>
      <c r="C2103"/>
      <c r="D2103"/>
      <c r="E2103"/>
      <c r="F2103"/>
      <c r="G2103"/>
      <c r="H2103"/>
      <c r="I2103"/>
      <c r="J2103" s="44"/>
      <c r="K2103"/>
      <c r="L2103"/>
      <c r="M2103"/>
      <c r="N2103"/>
      <c r="O2103"/>
    </row>
    <row r="2104" spans="1:15" ht="18" x14ac:dyDescent="0.55000000000000004">
      <c r="A2104"/>
      <c r="B2104"/>
      <c r="C2104"/>
      <c r="D2104"/>
      <c r="E2104"/>
      <c r="F2104"/>
      <c r="G2104"/>
      <c r="H2104"/>
      <c r="I2104"/>
      <c r="J2104" s="44"/>
      <c r="K2104"/>
      <c r="L2104"/>
      <c r="M2104"/>
      <c r="N2104"/>
      <c r="O2104"/>
    </row>
    <row r="2105" spans="1:15" ht="18" x14ac:dyDescent="0.55000000000000004">
      <c r="A2105"/>
      <c r="B2105"/>
      <c r="C2105"/>
      <c r="D2105"/>
      <c r="E2105"/>
      <c r="F2105"/>
      <c r="G2105"/>
      <c r="H2105"/>
      <c r="I2105"/>
      <c r="J2105" s="44"/>
      <c r="K2105"/>
      <c r="L2105"/>
      <c r="M2105"/>
      <c r="N2105"/>
      <c r="O2105"/>
    </row>
    <row r="2106" spans="1:15" ht="18" x14ac:dyDescent="0.55000000000000004">
      <c r="A2106"/>
      <c r="B2106"/>
      <c r="C2106"/>
      <c r="D2106"/>
      <c r="E2106"/>
      <c r="F2106"/>
      <c r="G2106"/>
      <c r="H2106"/>
      <c r="I2106"/>
      <c r="J2106" s="44"/>
      <c r="K2106"/>
      <c r="L2106"/>
      <c r="M2106"/>
      <c r="N2106"/>
      <c r="O2106"/>
    </row>
    <row r="2107" spans="1:15" ht="18" x14ac:dyDescent="0.55000000000000004">
      <c r="A2107"/>
      <c r="B2107"/>
      <c r="C2107"/>
      <c r="D2107"/>
      <c r="E2107"/>
      <c r="F2107"/>
      <c r="G2107"/>
      <c r="H2107"/>
      <c r="I2107"/>
      <c r="J2107" s="44"/>
      <c r="K2107"/>
      <c r="L2107"/>
      <c r="M2107"/>
      <c r="N2107"/>
      <c r="O2107"/>
    </row>
    <row r="2108" spans="1:15" ht="18" x14ac:dyDescent="0.55000000000000004">
      <c r="A2108"/>
      <c r="B2108"/>
      <c r="C2108"/>
      <c r="D2108"/>
      <c r="E2108"/>
      <c r="F2108"/>
      <c r="G2108"/>
      <c r="H2108"/>
      <c r="I2108"/>
      <c r="J2108" s="44"/>
      <c r="K2108"/>
      <c r="L2108"/>
      <c r="M2108"/>
      <c r="N2108"/>
      <c r="O2108"/>
    </row>
    <row r="2109" spans="1:15" ht="18" x14ac:dyDescent="0.55000000000000004">
      <c r="A2109"/>
      <c r="B2109"/>
      <c r="C2109"/>
      <c r="D2109"/>
      <c r="E2109"/>
      <c r="F2109"/>
      <c r="G2109"/>
      <c r="H2109"/>
      <c r="I2109"/>
      <c r="J2109" s="44"/>
      <c r="K2109"/>
      <c r="L2109"/>
      <c r="M2109"/>
      <c r="N2109"/>
      <c r="O2109"/>
    </row>
    <row r="2110" spans="1:15" ht="18" x14ac:dyDescent="0.55000000000000004">
      <c r="A2110"/>
      <c r="B2110"/>
      <c r="C2110"/>
      <c r="D2110"/>
      <c r="E2110"/>
      <c r="F2110"/>
      <c r="G2110"/>
      <c r="H2110"/>
      <c r="I2110"/>
      <c r="J2110" s="44"/>
      <c r="K2110"/>
      <c r="L2110"/>
      <c r="M2110"/>
      <c r="N2110"/>
      <c r="O2110"/>
    </row>
    <row r="2111" spans="1:15" ht="18" x14ac:dyDescent="0.55000000000000004">
      <c r="A2111"/>
      <c r="B2111"/>
      <c r="C2111"/>
      <c r="D2111"/>
      <c r="E2111"/>
      <c r="F2111"/>
      <c r="G2111"/>
      <c r="H2111"/>
      <c r="I2111"/>
      <c r="J2111" s="44"/>
      <c r="K2111"/>
      <c r="L2111"/>
      <c r="M2111"/>
      <c r="N2111"/>
      <c r="O2111"/>
    </row>
    <row r="2112" spans="1:15" ht="18" x14ac:dyDescent="0.55000000000000004">
      <c r="A2112"/>
      <c r="B2112"/>
      <c r="C2112"/>
      <c r="D2112"/>
      <c r="E2112"/>
      <c r="F2112"/>
      <c r="G2112"/>
      <c r="H2112"/>
      <c r="I2112"/>
      <c r="J2112" s="44"/>
      <c r="K2112"/>
      <c r="L2112"/>
      <c r="M2112"/>
      <c r="N2112"/>
      <c r="O2112"/>
    </row>
    <row r="2113" spans="1:15" ht="18" x14ac:dyDescent="0.55000000000000004">
      <c r="A2113"/>
      <c r="B2113"/>
      <c r="C2113"/>
      <c r="D2113"/>
      <c r="E2113"/>
      <c r="F2113"/>
      <c r="G2113"/>
      <c r="H2113"/>
      <c r="I2113"/>
      <c r="J2113" s="44"/>
      <c r="K2113"/>
      <c r="L2113"/>
      <c r="M2113"/>
      <c r="N2113"/>
      <c r="O2113"/>
    </row>
    <row r="2114" spans="1:15" ht="18" x14ac:dyDescent="0.55000000000000004">
      <c r="A2114"/>
      <c r="B2114"/>
      <c r="C2114"/>
      <c r="D2114"/>
      <c r="E2114"/>
      <c r="F2114"/>
      <c r="G2114"/>
      <c r="H2114"/>
      <c r="I2114"/>
      <c r="J2114" s="44"/>
      <c r="K2114"/>
      <c r="L2114"/>
      <c r="M2114"/>
      <c r="N2114"/>
      <c r="O2114"/>
    </row>
    <row r="2115" spans="1:15" ht="18" x14ac:dyDescent="0.55000000000000004">
      <c r="A2115"/>
      <c r="B2115"/>
      <c r="C2115"/>
      <c r="D2115"/>
      <c r="E2115"/>
      <c r="F2115"/>
      <c r="G2115"/>
      <c r="H2115"/>
      <c r="I2115"/>
      <c r="J2115" s="44"/>
      <c r="K2115"/>
      <c r="L2115"/>
      <c r="M2115"/>
      <c r="N2115"/>
      <c r="O2115"/>
    </row>
    <row r="2116" spans="1:15" ht="18" x14ac:dyDescent="0.55000000000000004">
      <c r="A2116"/>
      <c r="B2116"/>
      <c r="C2116"/>
      <c r="D2116"/>
      <c r="E2116"/>
      <c r="F2116"/>
      <c r="G2116"/>
      <c r="H2116"/>
      <c r="I2116"/>
      <c r="J2116" s="44"/>
      <c r="K2116"/>
      <c r="L2116"/>
      <c r="M2116"/>
      <c r="N2116"/>
      <c r="O2116"/>
    </row>
    <row r="2117" spans="1:15" ht="18" x14ac:dyDescent="0.55000000000000004">
      <c r="A2117"/>
      <c r="B2117"/>
      <c r="C2117"/>
      <c r="D2117"/>
      <c r="E2117"/>
      <c r="F2117"/>
      <c r="G2117"/>
      <c r="H2117"/>
      <c r="I2117"/>
      <c r="J2117" s="44"/>
      <c r="K2117"/>
      <c r="L2117"/>
      <c r="M2117"/>
      <c r="N2117"/>
      <c r="O2117"/>
    </row>
    <row r="2118" spans="1:15" ht="18" x14ac:dyDescent="0.55000000000000004">
      <c r="A2118"/>
      <c r="B2118"/>
      <c r="C2118"/>
      <c r="D2118"/>
      <c r="E2118"/>
      <c r="F2118"/>
      <c r="G2118"/>
      <c r="H2118"/>
      <c r="I2118"/>
      <c r="J2118" s="44"/>
      <c r="K2118"/>
      <c r="L2118"/>
      <c r="M2118"/>
      <c r="N2118"/>
      <c r="O2118"/>
    </row>
    <row r="2119" spans="1:15" ht="18" x14ac:dyDescent="0.55000000000000004">
      <c r="A2119"/>
      <c r="B2119"/>
      <c r="C2119"/>
      <c r="D2119"/>
      <c r="E2119"/>
      <c r="F2119"/>
      <c r="G2119"/>
      <c r="H2119"/>
      <c r="I2119"/>
      <c r="J2119" s="44"/>
      <c r="K2119"/>
      <c r="L2119"/>
      <c r="M2119"/>
      <c r="N2119"/>
      <c r="O2119"/>
    </row>
    <row r="2120" spans="1:15" ht="18" x14ac:dyDescent="0.55000000000000004">
      <c r="A2120"/>
      <c r="B2120"/>
      <c r="C2120"/>
      <c r="D2120"/>
      <c r="E2120"/>
      <c r="F2120"/>
      <c r="G2120"/>
      <c r="H2120"/>
      <c r="I2120"/>
      <c r="J2120" s="44"/>
      <c r="K2120"/>
      <c r="L2120"/>
      <c r="M2120"/>
      <c r="N2120"/>
      <c r="O2120"/>
    </row>
    <row r="2121" spans="1:15" ht="18" x14ac:dyDescent="0.55000000000000004">
      <c r="A2121"/>
      <c r="B2121"/>
      <c r="C2121"/>
      <c r="D2121"/>
      <c r="E2121"/>
      <c r="F2121"/>
      <c r="G2121"/>
      <c r="H2121"/>
      <c r="I2121"/>
      <c r="J2121" s="44"/>
      <c r="K2121"/>
      <c r="L2121"/>
      <c r="M2121"/>
      <c r="N2121"/>
      <c r="O2121"/>
    </row>
    <row r="2122" spans="1:15" ht="18" x14ac:dyDescent="0.55000000000000004">
      <c r="A2122"/>
      <c r="B2122"/>
      <c r="C2122"/>
      <c r="D2122"/>
      <c r="E2122"/>
      <c r="F2122"/>
      <c r="G2122"/>
      <c r="H2122"/>
      <c r="I2122"/>
      <c r="J2122" s="44"/>
      <c r="K2122"/>
      <c r="L2122"/>
      <c r="M2122"/>
      <c r="N2122"/>
      <c r="O2122"/>
    </row>
    <row r="2123" spans="1:15" ht="18" x14ac:dyDescent="0.55000000000000004">
      <c r="A2123"/>
      <c r="B2123"/>
      <c r="C2123"/>
      <c r="D2123"/>
      <c r="E2123"/>
      <c r="F2123"/>
      <c r="G2123"/>
      <c r="H2123"/>
      <c r="I2123"/>
      <c r="J2123" s="44"/>
      <c r="K2123"/>
      <c r="L2123"/>
      <c r="M2123"/>
      <c r="N2123"/>
      <c r="O2123"/>
    </row>
    <row r="2124" spans="1:15" ht="18" x14ac:dyDescent="0.55000000000000004">
      <c r="A2124"/>
      <c r="B2124"/>
      <c r="C2124"/>
      <c r="D2124"/>
      <c r="E2124"/>
      <c r="F2124"/>
      <c r="G2124"/>
      <c r="H2124"/>
      <c r="I2124"/>
      <c r="J2124" s="44"/>
      <c r="K2124"/>
      <c r="L2124"/>
      <c r="M2124"/>
      <c r="N2124"/>
      <c r="O2124"/>
    </row>
    <row r="2125" spans="1:15" ht="18" x14ac:dyDescent="0.55000000000000004">
      <c r="A2125"/>
      <c r="B2125"/>
      <c r="C2125"/>
      <c r="D2125"/>
      <c r="E2125"/>
      <c r="F2125"/>
      <c r="G2125"/>
      <c r="H2125"/>
      <c r="I2125"/>
      <c r="J2125" s="44"/>
      <c r="K2125"/>
      <c r="L2125"/>
      <c r="M2125"/>
      <c r="N2125"/>
      <c r="O2125"/>
    </row>
    <row r="2126" spans="1:15" ht="18" x14ac:dyDescent="0.55000000000000004">
      <c r="A2126"/>
      <c r="B2126"/>
      <c r="C2126"/>
      <c r="D2126"/>
      <c r="E2126"/>
      <c r="F2126"/>
      <c r="G2126"/>
      <c r="H2126"/>
      <c r="I2126"/>
      <c r="J2126" s="44"/>
      <c r="K2126"/>
      <c r="L2126"/>
      <c r="M2126"/>
      <c r="N2126"/>
      <c r="O2126"/>
    </row>
    <row r="2127" spans="1:15" ht="18" x14ac:dyDescent="0.55000000000000004">
      <c r="A2127"/>
      <c r="B2127"/>
      <c r="C2127"/>
      <c r="D2127"/>
      <c r="E2127"/>
      <c r="F2127"/>
      <c r="G2127"/>
      <c r="H2127"/>
      <c r="I2127"/>
      <c r="J2127" s="44"/>
      <c r="K2127"/>
      <c r="L2127"/>
      <c r="M2127"/>
      <c r="N2127"/>
      <c r="O2127"/>
    </row>
    <row r="2128" spans="1:15" ht="18" x14ac:dyDescent="0.55000000000000004">
      <c r="A2128"/>
      <c r="B2128"/>
      <c r="C2128"/>
      <c r="D2128"/>
      <c r="E2128"/>
      <c r="F2128"/>
      <c r="G2128"/>
      <c r="H2128"/>
      <c r="I2128"/>
      <c r="J2128" s="44"/>
      <c r="K2128"/>
      <c r="L2128"/>
      <c r="M2128"/>
      <c r="N2128"/>
      <c r="O2128"/>
    </row>
    <row r="2129" spans="1:15" ht="18" x14ac:dyDescent="0.55000000000000004">
      <c r="A2129"/>
      <c r="B2129"/>
      <c r="C2129"/>
      <c r="D2129"/>
      <c r="E2129"/>
      <c r="F2129"/>
      <c r="G2129"/>
      <c r="H2129"/>
      <c r="I2129"/>
      <c r="J2129" s="44"/>
      <c r="K2129"/>
      <c r="L2129"/>
      <c r="M2129"/>
      <c r="N2129"/>
      <c r="O2129"/>
    </row>
    <row r="2130" spans="1:15" ht="18" x14ac:dyDescent="0.55000000000000004">
      <c r="A2130"/>
      <c r="B2130"/>
      <c r="C2130"/>
      <c r="D2130"/>
      <c r="E2130"/>
      <c r="F2130"/>
      <c r="G2130"/>
      <c r="H2130"/>
      <c r="I2130"/>
      <c r="J2130" s="44"/>
      <c r="K2130"/>
      <c r="L2130"/>
      <c r="M2130"/>
      <c r="N2130"/>
      <c r="O2130"/>
    </row>
    <row r="2131" spans="1:15" ht="18" x14ac:dyDescent="0.55000000000000004">
      <c r="A2131"/>
      <c r="B2131"/>
      <c r="C2131"/>
      <c r="D2131"/>
      <c r="E2131"/>
      <c r="F2131"/>
      <c r="G2131"/>
      <c r="H2131"/>
      <c r="I2131"/>
      <c r="J2131" s="44"/>
      <c r="K2131"/>
      <c r="L2131"/>
      <c r="M2131"/>
      <c r="N2131"/>
      <c r="O2131"/>
    </row>
    <row r="2132" spans="1:15" ht="18" x14ac:dyDescent="0.55000000000000004">
      <c r="A2132"/>
      <c r="B2132"/>
      <c r="C2132"/>
      <c r="D2132"/>
      <c r="E2132"/>
      <c r="F2132"/>
      <c r="G2132"/>
      <c r="H2132"/>
      <c r="I2132"/>
      <c r="J2132" s="44"/>
      <c r="K2132"/>
      <c r="L2132"/>
      <c r="M2132"/>
      <c r="N2132"/>
      <c r="O2132"/>
    </row>
    <row r="2133" spans="1:15" ht="18" x14ac:dyDescent="0.55000000000000004">
      <c r="A2133"/>
      <c r="B2133"/>
      <c r="C2133"/>
      <c r="D2133"/>
      <c r="E2133"/>
      <c r="F2133"/>
      <c r="G2133"/>
      <c r="H2133"/>
      <c r="I2133"/>
      <c r="J2133" s="44"/>
      <c r="K2133"/>
      <c r="L2133"/>
      <c r="M2133"/>
      <c r="N2133"/>
      <c r="O2133"/>
    </row>
    <row r="2134" spans="1:15" ht="18" x14ac:dyDescent="0.55000000000000004">
      <c r="A2134"/>
      <c r="B2134"/>
      <c r="C2134"/>
      <c r="D2134"/>
      <c r="E2134"/>
      <c r="F2134"/>
      <c r="G2134"/>
      <c r="H2134"/>
      <c r="I2134"/>
      <c r="J2134" s="44"/>
      <c r="K2134"/>
      <c r="L2134"/>
      <c r="M2134"/>
      <c r="N2134"/>
      <c r="O2134"/>
    </row>
    <row r="2135" spans="1:15" ht="18" x14ac:dyDescent="0.55000000000000004">
      <c r="A2135"/>
      <c r="B2135"/>
      <c r="C2135"/>
      <c r="D2135"/>
      <c r="E2135"/>
      <c r="F2135"/>
      <c r="G2135"/>
      <c r="H2135"/>
      <c r="I2135"/>
      <c r="J2135" s="44"/>
      <c r="K2135"/>
      <c r="L2135"/>
      <c r="M2135"/>
      <c r="N2135"/>
      <c r="O2135"/>
    </row>
    <row r="2136" spans="1:15" ht="18" x14ac:dyDescent="0.55000000000000004">
      <c r="A2136"/>
      <c r="B2136"/>
      <c r="C2136"/>
      <c r="D2136"/>
      <c r="E2136"/>
      <c r="F2136"/>
      <c r="G2136"/>
      <c r="H2136"/>
      <c r="I2136"/>
      <c r="J2136" s="44"/>
      <c r="K2136"/>
      <c r="L2136"/>
      <c r="M2136"/>
      <c r="N2136"/>
      <c r="O2136"/>
    </row>
    <row r="2137" spans="1:15" ht="18" x14ac:dyDescent="0.55000000000000004">
      <c r="A2137"/>
      <c r="B2137"/>
      <c r="C2137"/>
      <c r="D2137"/>
      <c r="E2137"/>
      <c r="F2137"/>
      <c r="G2137"/>
      <c r="H2137"/>
      <c r="I2137"/>
      <c r="J2137" s="44"/>
      <c r="K2137"/>
      <c r="L2137"/>
      <c r="M2137"/>
      <c r="N2137"/>
      <c r="O2137"/>
    </row>
    <row r="2138" spans="1:15" ht="18" x14ac:dyDescent="0.55000000000000004">
      <c r="A2138"/>
      <c r="B2138"/>
      <c r="C2138"/>
      <c r="D2138"/>
      <c r="E2138"/>
      <c r="F2138"/>
      <c r="G2138"/>
      <c r="H2138"/>
      <c r="I2138"/>
      <c r="J2138" s="44"/>
      <c r="K2138"/>
      <c r="L2138"/>
      <c r="M2138"/>
      <c r="N2138"/>
      <c r="O2138"/>
    </row>
    <row r="2139" spans="1:15" ht="18" x14ac:dyDescent="0.55000000000000004">
      <c r="A2139"/>
      <c r="B2139"/>
      <c r="C2139"/>
      <c r="D2139"/>
      <c r="E2139"/>
      <c r="F2139"/>
      <c r="G2139"/>
      <c r="H2139"/>
      <c r="I2139"/>
      <c r="J2139" s="44"/>
      <c r="K2139"/>
      <c r="L2139"/>
      <c r="M2139"/>
      <c r="N2139"/>
      <c r="O2139"/>
    </row>
    <row r="2140" spans="1:15" ht="18" x14ac:dyDescent="0.55000000000000004">
      <c r="A2140"/>
      <c r="B2140"/>
      <c r="C2140"/>
      <c r="D2140"/>
      <c r="E2140"/>
      <c r="F2140"/>
      <c r="G2140"/>
      <c r="H2140"/>
      <c r="I2140"/>
      <c r="J2140" s="44"/>
      <c r="K2140"/>
      <c r="L2140"/>
      <c r="M2140"/>
      <c r="N2140"/>
      <c r="O2140"/>
    </row>
    <row r="2141" spans="1:15" ht="18" x14ac:dyDescent="0.55000000000000004">
      <c r="A2141"/>
      <c r="B2141"/>
      <c r="C2141"/>
      <c r="D2141"/>
      <c r="E2141"/>
      <c r="F2141"/>
      <c r="G2141"/>
      <c r="H2141"/>
      <c r="I2141"/>
      <c r="J2141" s="44"/>
      <c r="K2141"/>
      <c r="L2141"/>
      <c r="M2141"/>
      <c r="N2141"/>
      <c r="O2141"/>
    </row>
    <row r="2142" spans="1:15" ht="18" x14ac:dyDescent="0.55000000000000004">
      <c r="A2142"/>
      <c r="B2142"/>
      <c r="C2142"/>
      <c r="D2142"/>
      <c r="E2142"/>
      <c r="F2142"/>
      <c r="G2142"/>
      <c r="H2142"/>
      <c r="I2142"/>
      <c r="J2142" s="44"/>
      <c r="K2142"/>
      <c r="L2142"/>
      <c r="M2142"/>
      <c r="N2142"/>
      <c r="O2142"/>
    </row>
    <row r="2143" spans="1:15" ht="18" x14ac:dyDescent="0.55000000000000004">
      <c r="A2143"/>
      <c r="B2143"/>
      <c r="C2143"/>
      <c r="D2143"/>
      <c r="E2143"/>
      <c r="F2143"/>
      <c r="G2143"/>
      <c r="H2143"/>
      <c r="I2143"/>
      <c r="J2143" s="44"/>
      <c r="K2143"/>
      <c r="L2143"/>
      <c r="M2143"/>
      <c r="N2143"/>
      <c r="O2143"/>
    </row>
    <row r="2144" spans="1:15" ht="18" x14ac:dyDescent="0.55000000000000004">
      <c r="A2144"/>
      <c r="B2144"/>
      <c r="C2144"/>
      <c r="D2144"/>
      <c r="E2144"/>
      <c r="F2144"/>
      <c r="G2144"/>
      <c r="H2144"/>
      <c r="I2144"/>
      <c r="J2144" s="44"/>
      <c r="K2144"/>
      <c r="L2144"/>
      <c r="M2144"/>
      <c r="N2144"/>
      <c r="O2144"/>
    </row>
    <row r="2145" spans="1:15" ht="18" x14ac:dyDescent="0.55000000000000004">
      <c r="A2145"/>
      <c r="B2145"/>
      <c r="C2145"/>
      <c r="D2145"/>
      <c r="E2145"/>
      <c r="F2145"/>
      <c r="G2145"/>
      <c r="H2145"/>
      <c r="I2145"/>
      <c r="J2145" s="44"/>
      <c r="K2145"/>
      <c r="L2145"/>
      <c r="M2145"/>
      <c r="N2145"/>
      <c r="O2145"/>
    </row>
    <row r="2146" spans="1:15" ht="18" x14ac:dyDescent="0.55000000000000004">
      <c r="A2146"/>
      <c r="B2146"/>
      <c r="C2146"/>
      <c r="D2146"/>
      <c r="E2146"/>
      <c r="F2146"/>
      <c r="G2146"/>
      <c r="H2146"/>
      <c r="I2146"/>
      <c r="J2146" s="44"/>
      <c r="K2146"/>
      <c r="L2146"/>
      <c r="M2146"/>
      <c r="N2146"/>
      <c r="O2146"/>
    </row>
    <row r="2147" spans="1:15" ht="18" x14ac:dyDescent="0.55000000000000004">
      <c r="A2147"/>
      <c r="B2147"/>
      <c r="C2147"/>
      <c r="D2147"/>
      <c r="E2147"/>
      <c r="F2147"/>
      <c r="G2147"/>
      <c r="H2147"/>
      <c r="I2147"/>
      <c r="J2147" s="44"/>
      <c r="K2147"/>
      <c r="L2147"/>
      <c r="M2147"/>
      <c r="N2147"/>
      <c r="O2147"/>
    </row>
    <row r="2148" spans="1:15" ht="18" x14ac:dyDescent="0.55000000000000004">
      <c r="A2148"/>
      <c r="B2148"/>
      <c r="C2148"/>
      <c r="D2148"/>
      <c r="E2148"/>
      <c r="F2148"/>
      <c r="G2148"/>
      <c r="H2148"/>
      <c r="I2148"/>
      <c r="J2148" s="44"/>
      <c r="K2148"/>
      <c r="L2148"/>
      <c r="M2148"/>
      <c r="N2148"/>
      <c r="O2148"/>
    </row>
    <row r="2149" spans="1:15" ht="18" x14ac:dyDescent="0.55000000000000004">
      <c r="A2149"/>
      <c r="B2149"/>
      <c r="C2149"/>
      <c r="D2149"/>
      <c r="E2149"/>
      <c r="F2149"/>
      <c r="G2149"/>
      <c r="H2149"/>
      <c r="I2149"/>
      <c r="J2149" s="44"/>
      <c r="K2149"/>
      <c r="L2149"/>
      <c r="M2149"/>
      <c r="N2149"/>
      <c r="O2149"/>
    </row>
    <row r="2150" spans="1:15" ht="18" x14ac:dyDescent="0.55000000000000004">
      <c r="A2150"/>
      <c r="B2150"/>
      <c r="C2150"/>
      <c r="D2150"/>
      <c r="E2150"/>
      <c r="F2150"/>
      <c r="G2150"/>
      <c r="H2150"/>
      <c r="I2150"/>
      <c r="J2150" s="44"/>
      <c r="K2150"/>
      <c r="L2150"/>
      <c r="M2150"/>
      <c r="N2150"/>
      <c r="O2150"/>
    </row>
    <row r="2151" spans="1:15" ht="18" x14ac:dyDescent="0.55000000000000004">
      <c r="A2151"/>
      <c r="B2151"/>
      <c r="C2151"/>
      <c r="D2151"/>
      <c r="E2151"/>
      <c r="F2151"/>
      <c r="G2151"/>
      <c r="H2151"/>
      <c r="I2151"/>
      <c r="J2151" s="44"/>
      <c r="K2151"/>
      <c r="L2151"/>
      <c r="M2151"/>
      <c r="N2151"/>
      <c r="O2151"/>
    </row>
    <row r="2152" spans="1:15" ht="18" x14ac:dyDescent="0.55000000000000004">
      <c r="A2152"/>
      <c r="B2152"/>
      <c r="C2152"/>
      <c r="D2152"/>
      <c r="E2152"/>
      <c r="F2152"/>
      <c r="G2152"/>
      <c r="H2152"/>
      <c r="I2152"/>
      <c r="J2152" s="44"/>
      <c r="K2152"/>
      <c r="L2152"/>
      <c r="M2152"/>
      <c r="N2152"/>
      <c r="O2152"/>
    </row>
    <row r="2153" spans="1:15" ht="18" x14ac:dyDescent="0.55000000000000004">
      <c r="A2153"/>
      <c r="B2153"/>
      <c r="C2153"/>
      <c r="D2153"/>
      <c r="E2153"/>
      <c r="F2153"/>
      <c r="G2153"/>
      <c r="H2153"/>
      <c r="I2153"/>
      <c r="J2153" s="44"/>
      <c r="K2153"/>
      <c r="L2153"/>
      <c r="M2153"/>
      <c r="N2153"/>
      <c r="O2153"/>
    </row>
    <row r="2154" spans="1:15" ht="18" x14ac:dyDescent="0.55000000000000004">
      <c r="A2154"/>
      <c r="B2154"/>
      <c r="C2154"/>
      <c r="D2154"/>
      <c r="E2154"/>
      <c r="F2154"/>
      <c r="G2154"/>
      <c r="H2154"/>
      <c r="I2154"/>
      <c r="J2154" s="44"/>
      <c r="K2154"/>
      <c r="L2154"/>
      <c r="M2154"/>
      <c r="N2154"/>
      <c r="O2154"/>
    </row>
    <row r="2155" spans="1:15" ht="18" x14ac:dyDescent="0.55000000000000004">
      <c r="A2155"/>
      <c r="B2155"/>
      <c r="C2155"/>
      <c r="D2155"/>
      <c r="E2155"/>
      <c r="F2155"/>
      <c r="G2155"/>
      <c r="H2155"/>
      <c r="I2155"/>
      <c r="J2155" s="44"/>
      <c r="K2155"/>
      <c r="L2155"/>
      <c r="M2155"/>
      <c r="N2155"/>
      <c r="O2155"/>
    </row>
    <row r="2156" spans="1:15" ht="18" x14ac:dyDescent="0.55000000000000004">
      <c r="A2156"/>
      <c r="B2156"/>
      <c r="C2156"/>
      <c r="D2156"/>
      <c r="E2156"/>
      <c r="F2156"/>
      <c r="G2156"/>
      <c r="H2156"/>
      <c r="I2156"/>
      <c r="J2156" s="44"/>
      <c r="K2156"/>
      <c r="L2156"/>
      <c r="M2156"/>
      <c r="N2156"/>
      <c r="O2156"/>
    </row>
    <row r="2157" spans="1:15" ht="18" x14ac:dyDescent="0.55000000000000004">
      <c r="A2157"/>
      <c r="B2157"/>
      <c r="C2157"/>
      <c r="D2157"/>
      <c r="E2157"/>
      <c r="F2157"/>
      <c r="G2157"/>
      <c r="H2157"/>
      <c r="I2157"/>
      <c r="J2157" s="44"/>
      <c r="K2157"/>
      <c r="L2157"/>
      <c r="M2157"/>
      <c r="N2157"/>
      <c r="O2157"/>
    </row>
    <row r="2158" spans="1:15" ht="18" x14ac:dyDescent="0.55000000000000004">
      <c r="A2158"/>
      <c r="B2158"/>
      <c r="C2158"/>
      <c r="D2158"/>
      <c r="E2158"/>
      <c r="F2158"/>
      <c r="G2158"/>
      <c r="H2158"/>
      <c r="I2158"/>
      <c r="J2158" s="44"/>
      <c r="K2158"/>
      <c r="L2158"/>
      <c r="M2158"/>
      <c r="N2158"/>
      <c r="O2158"/>
    </row>
    <row r="2159" spans="1:15" ht="18" x14ac:dyDescent="0.55000000000000004">
      <c r="A2159"/>
      <c r="B2159"/>
      <c r="C2159"/>
      <c r="D2159"/>
      <c r="E2159"/>
      <c r="F2159"/>
      <c r="G2159"/>
      <c r="H2159"/>
      <c r="I2159"/>
      <c r="J2159" s="44"/>
      <c r="K2159"/>
      <c r="L2159"/>
      <c r="M2159"/>
      <c r="N2159"/>
      <c r="O2159"/>
    </row>
    <row r="2160" spans="1:15" ht="18" x14ac:dyDescent="0.55000000000000004">
      <c r="A2160"/>
      <c r="B2160"/>
      <c r="C2160"/>
      <c r="D2160"/>
      <c r="E2160"/>
      <c r="F2160"/>
      <c r="G2160"/>
      <c r="H2160"/>
      <c r="I2160"/>
      <c r="J2160" s="44"/>
      <c r="K2160"/>
      <c r="L2160"/>
      <c r="M2160"/>
      <c r="N2160"/>
      <c r="O2160"/>
    </row>
    <row r="2161" spans="1:15" ht="18" x14ac:dyDescent="0.55000000000000004">
      <c r="A2161"/>
      <c r="B2161"/>
      <c r="C2161"/>
      <c r="D2161"/>
      <c r="E2161"/>
      <c r="F2161"/>
      <c r="G2161"/>
      <c r="H2161"/>
      <c r="I2161"/>
      <c r="J2161" s="44"/>
      <c r="K2161"/>
      <c r="L2161"/>
      <c r="M2161"/>
      <c r="N2161"/>
      <c r="O2161"/>
    </row>
    <row r="2162" spans="1:15" ht="18" x14ac:dyDescent="0.55000000000000004">
      <c r="A2162"/>
      <c r="B2162"/>
      <c r="C2162"/>
      <c r="D2162"/>
      <c r="E2162"/>
      <c r="F2162"/>
      <c r="G2162"/>
      <c r="H2162"/>
      <c r="I2162"/>
      <c r="J2162" s="44"/>
      <c r="K2162"/>
      <c r="L2162"/>
      <c r="M2162"/>
      <c r="N2162"/>
      <c r="O2162"/>
    </row>
    <row r="2163" spans="1:15" ht="18" x14ac:dyDescent="0.55000000000000004">
      <c r="A2163"/>
      <c r="B2163"/>
      <c r="C2163"/>
      <c r="D2163"/>
      <c r="E2163"/>
      <c r="F2163"/>
      <c r="G2163"/>
      <c r="H2163"/>
      <c r="I2163"/>
      <c r="J2163" s="44"/>
      <c r="K2163"/>
      <c r="L2163"/>
      <c r="M2163"/>
      <c r="N2163"/>
      <c r="O2163"/>
    </row>
    <row r="2164" spans="1:15" ht="18" x14ac:dyDescent="0.55000000000000004">
      <c r="A2164"/>
      <c r="B2164"/>
      <c r="C2164"/>
      <c r="D2164"/>
      <c r="E2164"/>
      <c r="F2164"/>
      <c r="G2164"/>
      <c r="H2164"/>
      <c r="I2164"/>
      <c r="J2164" s="44"/>
      <c r="K2164"/>
      <c r="L2164"/>
      <c r="M2164"/>
      <c r="N2164"/>
      <c r="O2164"/>
    </row>
    <row r="2165" spans="1:15" ht="18" x14ac:dyDescent="0.55000000000000004">
      <c r="A2165"/>
      <c r="B2165"/>
      <c r="C2165"/>
      <c r="D2165"/>
      <c r="E2165"/>
      <c r="F2165"/>
      <c r="G2165"/>
      <c r="H2165"/>
      <c r="I2165"/>
      <c r="J2165" s="44"/>
      <c r="K2165"/>
      <c r="L2165"/>
      <c r="M2165"/>
      <c r="N2165"/>
      <c r="O2165"/>
    </row>
    <row r="2166" spans="1:15" ht="18" x14ac:dyDescent="0.55000000000000004">
      <c r="A2166"/>
      <c r="B2166"/>
      <c r="C2166"/>
      <c r="D2166"/>
      <c r="E2166"/>
      <c r="F2166"/>
      <c r="G2166"/>
      <c r="H2166"/>
      <c r="I2166"/>
      <c r="J2166" s="44"/>
      <c r="K2166"/>
      <c r="L2166"/>
      <c r="M2166"/>
      <c r="N2166"/>
      <c r="O2166"/>
    </row>
    <row r="2167" spans="1:15" ht="18" x14ac:dyDescent="0.55000000000000004">
      <c r="A2167"/>
      <c r="B2167"/>
      <c r="C2167"/>
      <c r="D2167"/>
      <c r="E2167"/>
      <c r="F2167"/>
      <c r="G2167"/>
      <c r="H2167"/>
      <c r="I2167"/>
      <c r="J2167" s="44"/>
      <c r="K2167"/>
      <c r="L2167"/>
      <c r="M2167"/>
      <c r="N2167"/>
      <c r="O2167"/>
    </row>
    <row r="2168" spans="1:15" ht="18" x14ac:dyDescent="0.55000000000000004">
      <c r="A2168"/>
      <c r="B2168"/>
      <c r="C2168"/>
      <c r="D2168"/>
      <c r="E2168"/>
      <c r="F2168"/>
      <c r="G2168"/>
      <c r="H2168"/>
      <c r="I2168"/>
      <c r="J2168" s="44"/>
      <c r="K2168"/>
      <c r="L2168"/>
      <c r="M2168"/>
      <c r="N2168"/>
      <c r="O2168"/>
    </row>
    <row r="2169" spans="1:15" ht="18" x14ac:dyDescent="0.55000000000000004">
      <c r="A2169"/>
      <c r="B2169"/>
      <c r="C2169"/>
      <c r="D2169"/>
      <c r="E2169"/>
      <c r="F2169"/>
      <c r="G2169"/>
      <c r="H2169"/>
      <c r="I2169"/>
      <c r="J2169" s="44"/>
      <c r="K2169"/>
      <c r="L2169"/>
      <c r="M2169"/>
      <c r="N2169"/>
      <c r="O2169"/>
    </row>
    <row r="2170" spans="1:15" ht="18" x14ac:dyDescent="0.55000000000000004">
      <c r="A2170"/>
      <c r="B2170"/>
      <c r="C2170"/>
      <c r="D2170"/>
      <c r="E2170"/>
      <c r="F2170"/>
      <c r="G2170"/>
      <c r="H2170"/>
      <c r="I2170"/>
      <c r="J2170" s="44"/>
      <c r="K2170"/>
      <c r="L2170"/>
      <c r="M2170"/>
      <c r="N2170"/>
      <c r="O2170"/>
    </row>
    <row r="2171" spans="1:15" ht="18" x14ac:dyDescent="0.55000000000000004">
      <c r="A2171"/>
      <c r="B2171"/>
      <c r="C2171"/>
      <c r="D2171"/>
      <c r="E2171"/>
      <c r="F2171"/>
      <c r="G2171"/>
      <c r="H2171"/>
      <c r="I2171"/>
      <c r="J2171" s="44"/>
      <c r="K2171"/>
      <c r="L2171"/>
      <c r="M2171"/>
      <c r="N2171"/>
      <c r="O2171"/>
    </row>
    <row r="2172" spans="1:15" ht="18" x14ac:dyDescent="0.55000000000000004">
      <c r="A2172"/>
      <c r="B2172"/>
      <c r="C2172"/>
      <c r="D2172"/>
      <c r="E2172"/>
      <c r="F2172"/>
      <c r="G2172"/>
      <c r="H2172"/>
      <c r="I2172"/>
      <c r="J2172" s="44"/>
      <c r="K2172"/>
      <c r="L2172"/>
      <c r="M2172"/>
      <c r="N2172"/>
      <c r="O2172"/>
    </row>
    <row r="2173" spans="1:15" ht="18" x14ac:dyDescent="0.55000000000000004">
      <c r="A2173"/>
      <c r="B2173"/>
      <c r="C2173"/>
      <c r="D2173"/>
      <c r="E2173"/>
      <c r="F2173"/>
      <c r="G2173"/>
      <c r="H2173"/>
      <c r="I2173"/>
      <c r="J2173" s="44"/>
      <c r="K2173"/>
      <c r="L2173"/>
      <c r="M2173"/>
      <c r="N2173"/>
      <c r="O2173"/>
    </row>
    <row r="2174" spans="1:15" ht="18" x14ac:dyDescent="0.55000000000000004">
      <c r="A2174"/>
      <c r="B2174"/>
      <c r="C2174"/>
      <c r="D2174"/>
      <c r="E2174"/>
      <c r="F2174"/>
      <c r="G2174"/>
      <c r="H2174"/>
      <c r="I2174"/>
      <c r="J2174" s="44"/>
      <c r="K2174"/>
      <c r="L2174"/>
      <c r="M2174"/>
      <c r="N2174"/>
      <c r="O2174"/>
    </row>
    <row r="2175" spans="1:15" ht="18" x14ac:dyDescent="0.55000000000000004">
      <c r="A2175"/>
      <c r="B2175"/>
      <c r="C2175"/>
      <c r="D2175"/>
      <c r="E2175"/>
      <c r="F2175"/>
      <c r="G2175"/>
      <c r="H2175"/>
      <c r="I2175"/>
      <c r="J2175" s="44"/>
      <c r="K2175"/>
      <c r="L2175"/>
      <c r="M2175"/>
      <c r="N2175"/>
      <c r="O2175"/>
    </row>
    <row r="2176" spans="1:15" ht="18" x14ac:dyDescent="0.55000000000000004">
      <c r="A2176"/>
      <c r="B2176"/>
      <c r="C2176"/>
      <c r="D2176"/>
      <c r="E2176"/>
      <c r="F2176"/>
      <c r="G2176"/>
      <c r="H2176"/>
      <c r="I2176"/>
      <c r="J2176" s="44"/>
      <c r="K2176"/>
      <c r="L2176"/>
      <c r="M2176"/>
      <c r="N2176"/>
      <c r="O2176"/>
    </row>
    <row r="2177" spans="1:15" ht="18" x14ac:dyDescent="0.55000000000000004">
      <c r="A2177"/>
      <c r="B2177"/>
      <c r="C2177"/>
      <c r="D2177"/>
      <c r="E2177"/>
      <c r="F2177"/>
      <c r="G2177"/>
      <c r="H2177"/>
      <c r="I2177"/>
      <c r="J2177" s="44"/>
      <c r="K2177"/>
      <c r="L2177"/>
      <c r="M2177"/>
      <c r="N2177"/>
      <c r="O2177"/>
    </row>
    <row r="2178" spans="1:15" ht="18" x14ac:dyDescent="0.55000000000000004">
      <c r="A2178"/>
      <c r="B2178"/>
      <c r="C2178"/>
      <c r="D2178"/>
      <c r="E2178"/>
      <c r="F2178"/>
      <c r="G2178"/>
      <c r="H2178"/>
      <c r="I2178"/>
      <c r="J2178" s="44"/>
      <c r="K2178"/>
      <c r="L2178"/>
      <c r="M2178"/>
      <c r="N2178"/>
      <c r="O2178"/>
    </row>
    <row r="2179" spans="1:15" ht="18" x14ac:dyDescent="0.55000000000000004">
      <c r="A2179"/>
      <c r="B2179"/>
      <c r="C2179"/>
      <c r="D2179"/>
      <c r="E2179"/>
      <c r="F2179"/>
      <c r="G2179"/>
      <c r="H2179"/>
      <c r="I2179"/>
      <c r="J2179" s="44"/>
      <c r="K2179"/>
      <c r="L2179"/>
      <c r="M2179"/>
      <c r="N2179"/>
      <c r="O2179"/>
    </row>
    <row r="2180" spans="1:15" ht="18" x14ac:dyDescent="0.55000000000000004">
      <c r="A2180"/>
      <c r="B2180"/>
      <c r="C2180"/>
      <c r="D2180"/>
      <c r="E2180"/>
      <c r="F2180"/>
      <c r="G2180"/>
      <c r="H2180"/>
      <c r="I2180"/>
      <c r="J2180" s="44"/>
      <c r="K2180"/>
      <c r="L2180"/>
      <c r="M2180"/>
      <c r="N2180"/>
      <c r="O2180"/>
    </row>
    <row r="2181" spans="1:15" ht="18" x14ac:dyDescent="0.55000000000000004">
      <c r="A2181"/>
      <c r="B2181"/>
      <c r="C2181"/>
      <c r="D2181"/>
      <c r="E2181"/>
      <c r="F2181"/>
      <c r="G2181"/>
      <c r="H2181"/>
      <c r="I2181"/>
      <c r="J2181" s="44"/>
      <c r="K2181"/>
      <c r="L2181"/>
      <c r="M2181"/>
      <c r="N2181"/>
      <c r="O2181"/>
    </row>
    <row r="2182" spans="1:15" ht="18" x14ac:dyDescent="0.55000000000000004">
      <c r="A2182"/>
      <c r="B2182"/>
      <c r="C2182"/>
      <c r="D2182"/>
      <c r="E2182"/>
      <c r="F2182"/>
      <c r="G2182"/>
      <c r="H2182"/>
      <c r="I2182"/>
      <c r="J2182" s="44"/>
      <c r="K2182"/>
      <c r="L2182"/>
      <c r="M2182"/>
      <c r="N2182"/>
      <c r="O2182"/>
    </row>
    <row r="2183" spans="1:15" ht="18" x14ac:dyDescent="0.55000000000000004">
      <c r="A2183"/>
      <c r="B2183"/>
      <c r="C2183"/>
      <c r="D2183"/>
      <c r="E2183"/>
      <c r="F2183"/>
      <c r="G2183"/>
      <c r="H2183"/>
      <c r="I2183"/>
      <c r="J2183" s="44"/>
      <c r="K2183"/>
      <c r="L2183"/>
      <c r="M2183"/>
      <c r="N2183"/>
      <c r="O2183"/>
    </row>
    <row r="2184" spans="1:15" ht="18" x14ac:dyDescent="0.55000000000000004">
      <c r="A2184"/>
      <c r="B2184"/>
      <c r="C2184"/>
      <c r="D2184"/>
      <c r="E2184"/>
      <c r="F2184"/>
      <c r="G2184"/>
      <c r="H2184"/>
      <c r="I2184"/>
      <c r="J2184" s="44"/>
      <c r="K2184"/>
      <c r="L2184"/>
      <c r="M2184"/>
      <c r="N2184"/>
      <c r="O2184"/>
    </row>
    <row r="2185" spans="1:15" ht="18" x14ac:dyDescent="0.55000000000000004">
      <c r="A2185"/>
      <c r="B2185"/>
      <c r="C2185"/>
      <c r="D2185"/>
      <c r="E2185"/>
      <c r="F2185"/>
      <c r="G2185"/>
      <c r="H2185"/>
      <c r="I2185"/>
      <c r="J2185" s="44"/>
      <c r="K2185"/>
      <c r="L2185"/>
      <c r="M2185"/>
      <c r="N2185"/>
      <c r="O2185"/>
    </row>
    <row r="2186" spans="1:15" ht="18" x14ac:dyDescent="0.55000000000000004">
      <c r="A2186"/>
      <c r="B2186"/>
      <c r="C2186"/>
      <c r="D2186"/>
      <c r="E2186"/>
      <c r="F2186"/>
      <c r="G2186"/>
      <c r="H2186"/>
      <c r="I2186"/>
      <c r="J2186" s="44"/>
      <c r="K2186"/>
      <c r="L2186"/>
      <c r="M2186"/>
      <c r="N2186"/>
      <c r="O2186"/>
    </row>
    <row r="2187" spans="1:15" ht="18" x14ac:dyDescent="0.55000000000000004">
      <c r="A2187"/>
      <c r="B2187"/>
      <c r="C2187"/>
      <c r="D2187"/>
      <c r="E2187"/>
      <c r="F2187"/>
      <c r="G2187"/>
      <c r="H2187"/>
      <c r="I2187"/>
      <c r="J2187" s="44"/>
      <c r="K2187"/>
      <c r="L2187"/>
      <c r="M2187"/>
      <c r="N2187"/>
      <c r="O2187"/>
    </row>
    <row r="2188" spans="1:15" ht="18" x14ac:dyDescent="0.55000000000000004">
      <c r="A2188"/>
      <c r="B2188"/>
      <c r="C2188"/>
      <c r="D2188"/>
      <c r="E2188"/>
      <c r="F2188"/>
      <c r="G2188"/>
      <c r="H2188"/>
      <c r="I2188"/>
      <c r="J2188" s="44"/>
      <c r="K2188"/>
      <c r="L2188"/>
      <c r="M2188"/>
      <c r="N2188"/>
      <c r="O2188"/>
    </row>
    <row r="2189" spans="1:15" ht="18" x14ac:dyDescent="0.55000000000000004">
      <c r="A2189"/>
      <c r="B2189"/>
      <c r="C2189"/>
      <c r="D2189"/>
      <c r="E2189"/>
      <c r="F2189"/>
      <c r="G2189"/>
      <c r="H2189"/>
      <c r="I2189"/>
      <c r="J2189" s="44"/>
      <c r="K2189"/>
      <c r="L2189"/>
      <c r="M2189"/>
      <c r="N2189"/>
      <c r="O2189"/>
    </row>
    <row r="2190" spans="1:15" ht="18" x14ac:dyDescent="0.55000000000000004">
      <c r="A2190"/>
      <c r="B2190"/>
      <c r="C2190"/>
      <c r="D2190"/>
      <c r="E2190"/>
      <c r="F2190"/>
      <c r="G2190"/>
      <c r="H2190"/>
      <c r="I2190"/>
      <c r="J2190" s="44"/>
      <c r="K2190"/>
      <c r="L2190"/>
      <c r="M2190"/>
      <c r="N2190"/>
      <c r="O2190"/>
    </row>
    <row r="2191" spans="1:15" ht="18" x14ac:dyDescent="0.55000000000000004">
      <c r="A2191"/>
      <c r="B2191"/>
      <c r="C2191"/>
      <c r="D2191"/>
      <c r="E2191"/>
      <c r="F2191"/>
      <c r="G2191"/>
      <c r="H2191"/>
      <c r="I2191"/>
      <c r="J2191" s="44"/>
      <c r="K2191"/>
      <c r="L2191"/>
      <c r="M2191"/>
      <c r="N2191"/>
      <c r="O2191"/>
    </row>
    <row r="2192" spans="1:15" ht="18" x14ac:dyDescent="0.55000000000000004">
      <c r="A2192"/>
      <c r="B2192"/>
      <c r="C2192"/>
      <c r="D2192"/>
      <c r="E2192"/>
      <c r="F2192"/>
      <c r="G2192"/>
      <c r="H2192"/>
      <c r="I2192"/>
      <c r="J2192" s="44"/>
      <c r="K2192"/>
      <c r="L2192"/>
      <c r="M2192"/>
      <c r="N2192"/>
      <c r="O2192"/>
    </row>
    <row r="2193" spans="1:15" ht="18" x14ac:dyDescent="0.55000000000000004">
      <c r="A2193"/>
      <c r="B2193"/>
      <c r="C2193"/>
      <c r="D2193"/>
      <c r="E2193"/>
      <c r="F2193"/>
      <c r="G2193"/>
      <c r="H2193"/>
      <c r="I2193"/>
      <c r="J2193" s="44"/>
      <c r="K2193"/>
      <c r="L2193"/>
      <c r="M2193"/>
      <c r="N2193"/>
      <c r="O2193"/>
    </row>
    <row r="2194" spans="1:15" ht="18" x14ac:dyDescent="0.55000000000000004">
      <c r="A2194"/>
      <c r="B2194"/>
      <c r="C2194"/>
      <c r="D2194"/>
      <c r="E2194"/>
      <c r="F2194"/>
      <c r="G2194"/>
      <c r="H2194"/>
      <c r="I2194"/>
      <c r="J2194" s="44"/>
      <c r="K2194"/>
      <c r="L2194"/>
      <c r="M2194"/>
      <c r="N2194"/>
      <c r="O2194"/>
    </row>
    <row r="2195" spans="1:15" ht="18" x14ac:dyDescent="0.55000000000000004">
      <c r="A2195"/>
      <c r="B2195"/>
      <c r="C2195"/>
      <c r="D2195"/>
      <c r="E2195"/>
      <c r="F2195"/>
      <c r="G2195"/>
      <c r="H2195"/>
      <c r="I2195"/>
      <c r="J2195" s="44"/>
      <c r="K2195"/>
      <c r="L2195"/>
      <c r="M2195"/>
      <c r="N2195"/>
      <c r="O2195"/>
    </row>
    <row r="2196" spans="1:15" ht="18" x14ac:dyDescent="0.55000000000000004">
      <c r="A2196"/>
      <c r="B2196"/>
      <c r="C2196"/>
      <c r="D2196"/>
      <c r="E2196"/>
      <c r="F2196"/>
      <c r="G2196"/>
      <c r="H2196"/>
      <c r="I2196"/>
      <c r="J2196" s="44"/>
      <c r="K2196"/>
      <c r="L2196"/>
      <c r="M2196"/>
      <c r="N2196"/>
      <c r="O2196"/>
    </row>
    <row r="2197" spans="1:15" ht="18" x14ac:dyDescent="0.55000000000000004">
      <c r="A2197"/>
      <c r="B2197"/>
      <c r="C2197"/>
      <c r="D2197"/>
      <c r="E2197"/>
      <c r="F2197"/>
      <c r="G2197"/>
      <c r="H2197"/>
      <c r="I2197"/>
      <c r="J2197" s="44"/>
      <c r="K2197"/>
      <c r="L2197"/>
      <c r="M2197"/>
      <c r="N2197"/>
      <c r="O2197"/>
    </row>
    <row r="2198" spans="1:15" ht="18" x14ac:dyDescent="0.55000000000000004">
      <c r="A2198"/>
      <c r="B2198"/>
      <c r="C2198"/>
      <c r="D2198"/>
      <c r="E2198"/>
      <c r="F2198"/>
      <c r="G2198"/>
      <c r="H2198"/>
      <c r="I2198"/>
      <c r="J2198" s="44"/>
      <c r="K2198"/>
      <c r="L2198"/>
      <c r="M2198"/>
      <c r="N2198"/>
      <c r="O2198"/>
    </row>
    <row r="2199" spans="1:15" ht="18" x14ac:dyDescent="0.55000000000000004">
      <c r="A2199"/>
      <c r="B2199"/>
      <c r="C2199"/>
      <c r="D2199"/>
      <c r="E2199"/>
      <c r="F2199"/>
      <c r="G2199"/>
      <c r="H2199"/>
      <c r="I2199"/>
      <c r="J2199" s="44"/>
      <c r="K2199"/>
      <c r="L2199"/>
      <c r="M2199"/>
      <c r="N2199"/>
      <c r="O2199"/>
    </row>
    <row r="2200" spans="1:15" ht="18" x14ac:dyDescent="0.55000000000000004">
      <c r="A2200"/>
      <c r="B2200"/>
      <c r="C2200"/>
      <c r="D2200"/>
      <c r="E2200"/>
      <c r="F2200"/>
      <c r="G2200"/>
      <c r="H2200"/>
      <c r="I2200"/>
      <c r="J2200" s="44"/>
      <c r="K2200"/>
      <c r="L2200"/>
      <c r="M2200"/>
      <c r="N2200"/>
      <c r="O2200"/>
    </row>
    <row r="2201" spans="1:15" ht="18" x14ac:dyDescent="0.55000000000000004">
      <c r="A2201"/>
      <c r="B2201"/>
      <c r="C2201"/>
      <c r="D2201"/>
      <c r="E2201"/>
      <c r="F2201"/>
      <c r="G2201"/>
      <c r="H2201"/>
      <c r="I2201"/>
      <c r="J2201" s="44"/>
      <c r="K2201"/>
      <c r="L2201"/>
      <c r="M2201"/>
      <c r="N2201"/>
      <c r="O2201"/>
    </row>
    <row r="2202" spans="1:15" ht="18" x14ac:dyDescent="0.55000000000000004">
      <c r="A2202"/>
      <c r="B2202"/>
      <c r="C2202"/>
      <c r="D2202"/>
      <c r="E2202"/>
      <c r="F2202"/>
      <c r="G2202"/>
      <c r="H2202"/>
      <c r="I2202"/>
      <c r="J2202" s="44"/>
      <c r="K2202"/>
      <c r="L2202"/>
      <c r="M2202"/>
      <c r="N2202"/>
      <c r="O2202"/>
    </row>
    <row r="2203" spans="1:15" ht="18" x14ac:dyDescent="0.55000000000000004">
      <c r="A2203"/>
      <c r="B2203"/>
      <c r="C2203"/>
      <c r="D2203"/>
      <c r="E2203"/>
      <c r="F2203"/>
      <c r="G2203"/>
      <c r="H2203"/>
      <c r="I2203"/>
      <c r="J2203" s="44"/>
      <c r="K2203"/>
      <c r="L2203"/>
      <c r="M2203"/>
      <c r="N2203"/>
      <c r="O2203"/>
    </row>
    <row r="2204" spans="1:15" ht="18" x14ac:dyDescent="0.55000000000000004">
      <c r="A2204"/>
      <c r="B2204"/>
      <c r="C2204"/>
      <c r="D2204"/>
      <c r="E2204"/>
      <c r="F2204"/>
      <c r="G2204"/>
      <c r="H2204"/>
      <c r="I2204"/>
      <c r="J2204" s="44"/>
      <c r="K2204"/>
      <c r="L2204"/>
      <c r="M2204"/>
      <c r="N2204"/>
      <c r="O2204"/>
    </row>
    <row r="2205" spans="1:15" ht="18" x14ac:dyDescent="0.55000000000000004">
      <c r="A2205"/>
      <c r="B2205"/>
      <c r="C2205"/>
      <c r="D2205"/>
      <c r="E2205"/>
      <c r="F2205"/>
      <c r="G2205"/>
      <c r="H2205"/>
      <c r="I2205"/>
      <c r="J2205" s="44"/>
      <c r="K2205"/>
      <c r="L2205"/>
      <c r="M2205"/>
      <c r="N2205"/>
      <c r="O2205"/>
    </row>
    <row r="2206" spans="1:15" ht="18" x14ac:dyDescent="0.55000000000000004">
      <c r="A2206"/>
      <c r="B2206"/>
      <c r="C2206"/>
      <c r="D2206"/>
      <c r="E2206"/>
      <c r="F2206"/>
      <c r="G2206"/>
      <c r="H2206"/>
      <c r="I2206"/>
      <c r="J2206" s="44"/>
      <c r="K2206"/>
      <c r="L2206"/>
      <c r="M2206"/>
      <c r="N2206"/>
      <c r="O2206"/>
    </row>
    <row r="2207" spans="1:15" ht="18" x14ac:dyDescent="0.55000000000000004">
      <c r="A2207"/>
      <c r="B2207"/>
      <c r="C2207"/>
      <c r="D2207"/>
      <c r="E2207"/>
      <c r="F2207"/>
      <c r="G2207"/>
      <c r="H2207"/>
      <c r="I2207"/>
      <c r="J2207" s="44"/>
      <c r="K2207"/>
      <c r="L2207"/>
      <c r="M2207"/>
      <c r="N2207"/>
      <c r="O2207"/>
    </row>
    <row r="2208" spans="1:15" ht="18" x14ac:dyDescent="0.55000000000000004">
      <c r="A2208"/>
      <c r="B2208"/>
      <c r="C2208"/>
      <c r="D2208"/>
      <c r="E2208"/>
      <c r="F2208"/>
      <c r="G2208"/>
      <c r="H2208"/>
      <c r="I2208"/>
      <c r="J2208" s="44"/>
      <c r="K2208"/>
      <c r="L2208"/>
      <c r="M2208"/>
      <c r="N2208"/>
      <c r="O2208"/>
    </row>
    <row r="2209" spans="1:15" ht="18" x14ac:dyDescent="0.55000000000000004">
      <c r="A2209"/>
      <c r="B2209"/>
      <c r="C2209"/>
      <c r="D2209"/>
      <c r="E2209"/>
      <c r="F2209"/>
      <c r="G2209"/>
      <c r="H2209"/>
      <c r="I2209"/>
      <c r="J2209" s="44"/>
      <c r="K2209"/>
      <c r="L2209"/>
      <c r="M2209"/>
      <c r="N2209"/>
      <c r="O2209"/>
    </row>
    <row r="2210" spans="1:15" ht="18" x14ac:dyDescent="0.55000000000000004">
      <c r="A2210"/>
      <c r="B2210"/>
      <c r="C2210"/>
      <c r="D2210"/>
      <c r="E2210"/>
      <c r="F2210"/>
      <c r="G2210"/>
      <c r="H2210"/>
      <c r="I2210"/>
      <c r="J2210" s="44"/>
      <c r="K2210"/>
      <c r="L2210"/>
      <c r="M2210"/>
      <c r="N2210"/>
      <c r="O2210"/>
    </row>
    <row r="2211" spans="1:15" ht="18" x14ac:dyDescent="0.55000000000000004">
      <c r="A2211"/>
      <c r="B2211"/>
      <c r="C2211"/>
      <c r="D2211"/>
      <c r="E2211"/>
      <c r="F2211"/>
      <c r="G2211"/>
      <c r="H2211"/>
      <c r="I2211"/>
      <c r="J2211" s="44"/>
      <c r="K2211"/>
      <c r="L2211"/>
      <c r="M2211"/>
      <c r="N2211"/>
      <c r="O2211"/>
    </row>
    <row r="2212" spans="1:15" ht="18" x14ac:dyDescent="0.55000000000000004">
      <c r="A2212"/>
      <c r="B2212"/>
      <c r="C2212"/>
      <c r="D2212"/>
      <c r="E2212"/>
      <c r="F2212"/>
      <c r="G2212"/>
      <c r="H2212"/>
      <c r="I2212"/>
      <c r="J2212" s="44"/>
      <c r="K2212"/>
      <c r="L2212"/>
      <c r="M2212"/>
      <c r="N2212"/>
      <c r="O2212"/>
    </row>
    <row r="2213" spans="1:15" ht="18" x14ac:dyDescent="0.55000000000000004">
      <c r="A2213"/>
      <c r="B2213"/>
      <c r="C2213"/>
      <c r="D2213"/>
      <c r="E2213"/>
      <c r="F2213"/>
      <c r="G2213"/>
      <c r="H2213"/>
      <c r="I2213"/>
      <c r="J2213" s="44"/>
      <c r="K2213"/>
      <c r="L2213"/>
      <c r="M2213"/>
      <c r="N2213"/>
      <c r="O2213"/>
    </row>
    <row r="2214" spans="1:15" ht="18" x14ac:dyDescent="0.55000000000000004">
      <c r="A2214"/>
      <c r="B2214"/>
      <c r="C2214"/>
      <c r="D2214"/>
      <c r="E2214"/>
      <c r="F2214"/>
      <c r="G2214"/>
      <c r="H2214"/>
      <c r="I2214"/>
      <c r="J2214" s="44"/>
      <c r="K2214"/>
      <c r="L2214"/>
      <c r="M2214"/>
      <c r="N2214"/>
      <c r="O2214"/>
    </row>
    <row r="2215" spans="1:15" ht="18" x14ac:dyDescent="0.55000000000000004">
      <c r="A2215"/>
      <c r="B2215"/>
      <c r="C2215"/>
      <c r="D2215"/>
      <c r="E2215"/>
      <c r="F2215"/>
      <c r="G2215"/>
      <c r="H2215"/>
      <c r="I2215"/>
      <c r="J2215" s="44"/>
      <c r="K2215"/>
      <c r="L2215"/>
      <c r="M2215"/>
      <c r="N2215"/>
      <c r="O2215"/>
    </row>
    <row r="2216" spans="1:15" ht="18" x14ac:dyDescent="0.55000000000000004">
      <c r="A2216"/>
      <c r="B2216"/>
      <c r="C2216"/>
      <c r="D2216"/>
      <c r="E2216"/>
      <c r="F2216"/>
      <c r="G2216"/>
      <c r="H2216"/>
      <c r="I2216"/>
      <c r="J2216" s="44"/>
      <c r="K2216"/>
      <c r="L2216"/>
      <c r="M2216"/>
      <c r="N2216"/>
      <c r="O2216"/>
    </row>
    <row r="2217" spans="1:15" ht="18" x14ac:dyDescent="0.55000000000000004">
      <c r="A2217"/>
      <c r="B2217"/>
      <c r="C2217"/>
      <c r="D2217"/>
      <c r="E2217"/>
      <c r="F2217"/>
      <c r="G2217"/>
      <c r="H2217"/>
      <c r="I2217"/>
      <c r="J2217" s="44"/>
      <c r="K2217"/>
      <c r="L2217"/>
      <c r="M2217"/>
      <c r="N2217"/>
      <c r="O2217"/>
    </row>
    <row r="2218" spans="1:15" ht="18" x14ac:dyDescent="0.55000000000000004">
      <c r="A2218"/>
      <c r="B2218"/>
      <c r="C2218"/>
      <c r="D2218"/>
      <c r="E2218"/>
      <c r="F2218"/>
      <c r="G2218"/>
      <c r="H2218"/>
      <c r="I2218"/>
      <c r="J2218" s="44"/>
      <c r="K2218"/>
      <c r="L2218"/>
      <c r="M2218"/>
      <c r="N2218"/>
      <c r="O2218"/>
    </row>
    <row r="2219" spans="1:15" ht="18" x14ac:dyDescent="0.55000000000000004">
      <c r="A2219"/>
      <c r="B2219"/>
      <c r="C2219"/>
      <c r="D2219"/>
      <c r="E2219"/>
      <c r="F2219"/>
      <c r="G2219"/>
      <c r="H2219"/>
      <c r="I2219"/>
      <c r="J2219" s="44"/>
      <c r="K2219"/>
      <c r="L2219"/>
      <c r="M2219"/>
      <c r="N2219"/>
      <c r="O2219"/>
    </row>
    <row r="2220" spans="1:15" ht="18" x14ac:dyDescent="0.55000000000000004">
      <c r="A2220"/>
      <c r="B2220"/>
      <c r="C2220"/>
      <c r="D2220"/>
      <c r="E2220"/>
      <c r="F2220"/>
      <c r="G2220"/>
      <c r="H2220"/>
      <c r="I2220"/>
      <c r="J2220" s="44"/>
      <c r="K2220"/>
      <c r="L2220"/>
      <c r="M2220"/>
      <c r="N2220"/>
      <c r="O2220"/>
    </row>
    <row r="2221" spans="1:15" ht="18" x14ac:dyDescent="0.55000000000000004">
      <c r="A2221"/>
      <c r="B2221"/>
      <c r="C2221"/>
      <c r="D2221"/>
      <c r="E2221"/>
      <c r="F2221"/>
      <c r="G2221"/>
      <c r="H2221"/>
      <c r="I2221"/>
      <c r="J2221" s="44"/>
      <c r="K2221"/>
      <c r="L2221"/>
      <c r="M2221"/>
      <c r="N2221"/>
      <c r="O2221"/>
    </row>
    <row r="2222" spans="1:15" ht="18" x14ac:dyDescent="0.55000000000000004">
      <c r="A2222"/>
      <c r="B2222"/>
      <c r="C2222"/>
      <c r="D2222"/>
      <c r="E2222"/>
      <c r="F2222"/>
      <c r="G2222"/>
      <c r="H2222"/>
      <c r="I2222"/>
      <c r="J2222" s="44"/>
      <c r="K2222"/>
      <c r="L2222"/>
      <c r="M2222"/>
      <c r="N2222"/>
      <c r="O2222"/>
    </row>
    <row r="2223" spans="1:15" ht="18" x14ac:dyDescent="0.55000000000000004">
      <c r="A2223"/>
      <c r="B2223"/>
      <c r="C2223"/>
      <c r="D2223"/>
      <c r="E2223"/>
      <c r="F2223"/>
      <c r="G2223"/>
      <c r="H2223"/>
      <c r="I2223"/>
      <c r="J2223" s="44"/>
      <c r="K2223"/>
      <c r="L2223"/>
      <c r="M2223"/>
      <c r="N2223"/>
      <c r="O2223"/>
    </row>
    <row r="2224" spans="1:15" ht="18" x14ac:dyDescent="0.55000000000000004">
      <c r="A2224"/>
      <c r="B2224"/>
      <c r="C2224"/>
      <c r="D2224"/>
      <c r="E2224"/>
      <c r="F2224"/>
      <c r="G2224"/>
      <c r="H2224"/>
      <c r="I2224"/>
      <c r="J2224" s="44"/>
      <c r="K2224"/>
      <c r="L2224"/>
      <c r="M2224"/>
      <c r="N2224"/>
      <c r="O2224"/>
    </row>
    <row r="2225" spans="1:15" ht="18" x14ac:dyDescent="0.55000000000000004">
      <c r="A2225"/>
      <c r="B2225"/>
      <c r="C2225"/>
      <c r="D2225"/>
      <c r="E2225"/>
      <c r="F2225"/>
      <c r="G2225"/>
      <c r="H2225"/>
      <c r="I2225"/>
      <c r="J2225" s="44"/>
      <c r="K2225"/>
      <c r="L2225"/>
      <c r="M2225"/>
      <c r="N2225"/>
      <c r="O2225"/>
    </row>
    <row r="2226" spans="1:15" ht="18" x14ac:dyDescent="0.55000000000000004">
      <c r="A2226"/>
      <c r="B2226"/>
      <c r="C2226"/>
      <c r="D2226"/>
      <c r="E2226"/>
      <c r="F2226"/>
      <c r="G2226"/>
      <c r="H2226"/>
      <c r="I2226"/>
      <c r="J2226" s="44"/>
      <c r="K2226"/>
      <c r="L2226"/>
      <c r="M2226"/>
      <c r="N2226"/>
      <c r="O2226"/>
    </row>
    <row r="2227" spans="1:15" ht="18" x14ac:dyDescent="0.55000000000000004">
      <c r="A2227"/>
      <c r="B2227"/>
      <c r="C2227"/>
      <c r="D2227"/>
      <c r="E2227"/>
      <c r="F2227"/>
      <c r="G2227"/>
      <c r="H2227"/>
      <c r="I2227"/>
      <c r="J2227" s="44"/>
      <c r="K2227"/>
      <c r="L2227"/>
      <c r="M2227"/>
      <c r="N2227"/>
      <c r="O2227"/>
    </row>
    <row r="2228" spans="1:15" ht="18" x14ac:dyDescent="0.55000000000000004">
      <c r="A2228"/>
      <c r="B2228"/>
      <c r="C2228"/>
      <c r="D2228"/>
      <c r="E2228"/>
      <c r="F2228"/>
      <c r="G2228"/>
      <c r="H2228"/>
      <c r="I2228"/>
      <c r="J2228" s="44"/>
      <c r="K2228"/>
      <c r="L2228"/>
      <c r="M2228"/>
      <c r="N2228"/>
      <c r="O2228"/>
    </row>
    <row r="2229" spans="1:15" ht="18" x14ac:dyDescent="0.55000000000000004">
      <c r="A2229"/>
      <c r="B2229"/>
      <c r="C2229"/>
      <c r="D2229"/>
      <c r="E2229"/>
      <c r="F2229"/>
      <c r="G2229"/>
      <c r="H2229"/>
      <c r="I2229"/>
      <c r="J2229" s="44"/>
      <c r="K2229"/>
      <c r="L2229"/>
      <c r="M2229"/>
      <c r="N2229"/>
      <c r="O2229"/>
    </row>
    <row r="2230" spans="1:15" ht="18" x14ac:dyDescent="0.55000000000000004">
      <c r="A2230"/>
      <c r="B2230"/>
      <c r="C2230"/>
      <c r="D2230"/>
      <c r="E2230"/>
      <c r="F2230"/>
      <c r="G2230"/>
      <c r="H2230"/>
      <c r="I2230"/>
      <c r="J2230" s="44"/>
      <c r="K2230"/>
      <c r="L2230"/>
      <c r="M2230"/>
      <c r="N2230"/>
      <c r="O2230"/>
    </row>
    <row r="2231" spans="1:15" ht="18" x14ac:dyDescent="0.55000000000000004">
      <c r="A2231"/>
      <c r="B2231"/>
      <c r="C2231"/>
      <c r="D2231"/>
      <c r="E2231"/>
      <c r="F2231"/>
      <c r="G2231"/>
      <c r="H2231"/>
      <c r="I2231"/>
      <c r="J2231" s="44"/>
      <c r="K2231"/>
      <c r="L2231"/>
      <c r="M2231"/>
      <c r="N2231"/>
      <c r="O2231"/>
    </row>
    <row r="2232" spans="1:15" ht="18" x14ac:dyDescent="0.55000000000000004">
      <c r="A2232"/>
      <c r="B2232"/>
      <c r="C2232"/>
      <c r="D2232"/>
      <c r="E2232"/>
      <c r="F2232"/>
      <c r="G2232"/>
      <c r="H2232"/>
      <c r="I2232"/>
      <c r="J2232" s="44"/>
      <c r="K2232"/>
      <c r="L2232"/>
      <c r="M2232"/>
      <c r="N2232"/>
      <c r="O2232"/>
    </row>
    <row r="2233" spans="1:15" ht="18" x14ac:dyDescent="0.55000000000000004">
      <c r="A2233"/>
      <c r="B2233"/>
      <c r="C2233"/>
      <c r="D2233"/>
      <c r="E2233"/>
      <c r="F2233"/>
      <c r="G2233"/>
      <c r="H2233"/>
      <c r="I2233"/>
      <c r="J2233" s="44"/>
      <c r="K2233"/>
      <c r="L2233"/>
      <c r="M2233"/>
      <c r="N2233"/>
      <c r="O2233"/>
    </row>
    <row r="2234" spans="1:15" ht="18" x14ac:dyDescent="0.55000000000000004">
      <c r="A2234"/>
      <c r="B2234"/>
      <c r="C2234"/>
      <c r="D2234"/>
      <c r="E2234"/>
      <c r="F2234"/>
      <c r="G2234"/>
      <c r="H2234"/>
      <c r="I2234"/>
      <c r="J2234" s="44"/>
      <c r="K2234"/>
      <c r="L2234"/>
      <c r="M2234"/>
      <c r="N2234"/>
      <c r="O2234"/>
    </row>
    <row r="2235" spans="1:15" ht="18" x14ac:dyDescent="0.55000000000000004">
      <c r="A2235"/>
      <c r="B2235"/>
      <c r="C2235"/>
      <c r="D2235"/>
      <c r="E2235"/>
      <c r="F2235"/>
      <c r="G2235"/>
      <c r="H2235"/>
      <c r="I2235"/>
      <c r="J2235" s="44"/>
      <c r="K2235"/>
      <c r="L2235"/>
      <c r="M2235"/>
      <c r="N2235"/>
      <c r="O2235"/>
    </row>
    <row r="2236" spans="1:15" ht="18" x14ac:dyDescent="0.55000000000000004">
      <c r="A2236"/>
      <c r="B2236"/>
      <c r="C2236"/>
      <c r="D2236"/>
      <c r="E2236"/>
      <c r="F2236"/>
      <c r="G2236"/>
      <c r="H2236"/>
      <c r="I2236"/>
      <c r="J2236" s="44"/>
      <c r="K2236"/>
      <c r="L2236"/>
      <c r="M2236"/>
      <c r="N2236"/>
      <c r="O2236"/>
    </row>
    <row r="2237" spans="1:15" ht="18" x14ac:dyDescent="0.55000000000000004">
      <c r="A2237"/>
      <c r="B2237"/>
      <c r="C2237"/>
      <c r="D2237"/>
      <c r="E2237"/>
      <c r="F2237"/>
      <c r="G2237"/>
      <c r="H2237"/>
      <c r="I2237"/>
      <c r="J2237" s="44"/>
      <c r="K2237"/>
      <c r="L2237"/>
      <c r="M2237"/>
      <c r="N2237"/>
      <c r="O2237"/>
    </row>
    <row r="2238" spans="1:15" ht="18" x14ac:dyDescent="0.55000000000000004">
      <c r="A2238"/>
      <c r="B2238"/>
      <c r="C2238"/>
      <c r="D2238"/>
      <c r="E2238"/>
      <c r="F2238"/>
      <c r="G2238"/>
      <c r="H2238"/>
      <c r="I2238"/>
      <c r="J2238" s="44"/>
      <c r="K2238"/>
      <c r="L2238"/>
      <c r="M2238"/>
      <c r="N2238"/>
      <c r="O2238"/>
    </row>
    <row r="2239" spans="1:15" ht="18" x14ac:dyDescent="0.55000000000000004">
      <c r="A2239"/>
      <c r="B2239"/>
      <c r="C2239"/>
      <c r="D2239"/>
      <c r="E2239"/>
      <c r="F2239"/>
      <c r="G2239"/>
      <c r="H2239"/>
      <c r="I2239"/>
      <c r="J2239" s="44"/>
      <c r="K2239"/>
      <c r="L2239"/>
      <c r="M2239"/>
      <c r="N2239"/>
      <c r="O2239"/>
    </row>
    <row r="2240" spans="1:15" ht="18" x14ac:dyDescent="0.55000000000000004">
      <c r="A2240"/>
      <c r="B2240"/>
      <c r="C2240"/>
      <c r="D2240"/>
      <c r="E2240"/>
      <c r="F2240"/>
      <c r="G2240"/>
      <c r="H2240"/>
      <c r="I2240"/>
      <c r="J2240" s="44"/>
      <c r="K2240"/>
      <c r="L2240"/>
      <c r="M2240"/>
      <c r="N2240"/>
      <c r="O2240"/>
    </row>
    <row r="2241" spans="1:15" ht="18" x14ac:dyDescent="0.55000000000000004">
      <c r="A2241"/>
      <c r="B2241"/>
      <c r="C2241"/>
      <c r="D2241"/>
      <c r="E2241"/>
      <c r="F2241"/>
      <c r="G2241"/>
      <c r="H2241"/>
      <c r="I2241"/>
      <c r="J2241" s="44"/>
      <c r="K2241"/>
      <c r="L2241"/>
      <c r="M2241"/>
      <c r="N2241"/>
      <c r="O2241"/>
    </row>
    <row r="2242" spans="1:15" ht="18" x14ac:dyDescent="0.55000000000000004">
      <c r="A2242"/>
      <c r="B2242"/>
      <c r="C2242"/>
      <c r="D2242"/>
      <c r="E2242"/>
      <c r="F2242"/>
      <c r="G2242"/>
      <c r="H2242"/>
      <c r="I2242"/>
      <c r="J2242" s="44"/>
      <c r="K2242"/>
      <c r="L2242"/>
      <c r="M2242"/>
      <c r="N2242"/>
      <c r="O2242"/>
    </row>
    <row r="2243" spans="1:15" ht="18" x14ac:dyDescent="0.55000000000000004">
      <c r="A2243"/>
      <c r="B2243"/>
      <c r="C2243"/>
      <c r="D2243"/>
      <c r="E2243"/>
      <c r="F2243"/>
      <c r="G2243"/>
      <c r="H2243"/>
      <c r="I2243"/>
      <c r="J2243" s="44"/>
      <c r="K2243"/>
      <c r="L2243"/>
      <c r="M2243"/>
      <c r="N2243"/>
      <c r="O2243"/>
    </row>
    <row r="2244" spans="1:15" ht="18" x14ac:dyDescent="0.55000000000000004">
      <c r="A2244"/>
      <c r="B2244"/>
      <c r="C2244"/>
      <c r="D2244"/>
      <c r="E2244"/>
      <c r="F2244"/>
      <c r="G2244"/>
      <c r="H2244"/>
      <c r="I2244"/>
      <c r="J2244" s="44"/>
      <c r="K2244"/>
      <c r="L2244"/>
      <c r="M2244"/>
      <c r="N2244"/>
      <c r="O2244"/>
    </row>
    <row r="2245" spans="1:15" ht="18" x14ac:dyDescent="0.55000000000000004">
      <c r="A2245"/>
      <c r="B2245"/>
      <c r="C2245"/>
      <c r="D2245"/>
      <c r="E2245"/>
      <c r="F2245"/>
      <c r="G2245"/>
      <c r="H2245"/>
      <c r="I2245"/>
      <c r="J2245" s="44"/>
      <c r="K2245"/>
      <c r="L2245"/>
      <c r="M2245"/>
      <c r="N2245"/>
      <c r="O2245"/>
    </row>
    <row r="2246" spans="1:15" ht="18" x14ac:dyDescent="0.55000000000000004">
      <c r="A2246"/>
      <c r="B2246"/>
      <c r="C2246"/>
      <c r="D2246"/>
      <c r="E2246"/>
      <c r="F2246"/>
      <c r="G2246"/>
      <c r="H2246"/>
      <c r="I2246"/>
      <c r="J2246" s="44"/>
      <c r="K2246"/>
      <c r="L2246"/>
      <c r="M2246"/>
      <c r="N2246"/>
      <c r="O2246"/>
    </row>
    <row r="2247" spans="1:15" ht="18" x14ac:dyDescent="0.55000000000000004">
      <c r="A2247"/>
      <c r="B2247"/>
      <c r="C2247"/>
      <c r="D2247"/>
      <c r="E2247"/>
      <c r="F2247"/>
      <c r="G2247"/>
      <c r="H2247"/>
      <c r="I2247"/>
      <c r="J2247" s="44"/>
      <c r="K2247"/>
      <c r="L2247"/>
      <c r="M2247"/>
      <c r="N2247"/>
      <c r="O2247"/>
    </row>
    <row r="2248" spans="1:15" ht="18" x14ac:dyDescent="0.55000000000000004">
      <c r="A2248"/>
      <c r="B2248"/>
      <c r="C2248"/>
      <c r="D2248"/>
      <c r="E2248"/>
      <c r="F2248"/>
      <c r="G2248"/>
      <c r="H2248"/>
      <c r="I2248"/>
      <c r="J2248" s="44"/>
      <c r="K2248"/>
      <c r="L2248"/>
      <c r="M2248"/>
      <c r="N2248"/>
      <c r="O2248"/>
    </row>
    <row r="2249" spans="1:15" ht="18" x14ac:dyDescent="0.55000000000000004">
      <c r="A2249"/>
      <c r="B2249"/>
      <c r="C2249"/>
      <c r="D2249"/>
      <c r="E2249"/>
      <c r="F2249"/>
      <c r="G2249"/>
      <c r="H2249"/>
      <c r="I2249"/>
      <c r="J2249" s="44"/>
      <c r="K2249"/>
      <c r="L2249"/>
      <c r="M2249"/>
      <c r="N2249"/>
      <c r="O2249"/>
    </row>
    <row r="2250" spans="1:15" ht="18" x14ac:dyDescent="0.55000000000000004">
      <c r="A2250"/>
      <c r="B2250"/>
      <c r="C2250"/>
      <c r="D2250"/>
      <c r="E2250"/>
      <c r="F2250"/>
      <c r="G2250"/>
      <c r="H2250"/>
      <c r="I2250"/>
      <c r="J2250" s="44"/>
      <c r="K2250"/>
      <c r="L2250"/>
      <c r="M2250"/>
      <c r="N2250"/>
      <c r="O2250"/>
    </row>
    <row r="2251" spans="1:15" ht="18" x14ac:dyDescent="0.55000000000000004">
      <c r="A2251"/>
      <c r="B2251"/>
      <c r="C2251"/>
      <c r="D2251"/>
      <c r="E2251"/>
      <c r="F2251"/>
      <c r="G2251"/>
      <c r="H2251"/>
      <c r="I2251"/>
      <c r="J2251" s="44"/>
      <c r="K2251"/>
      <c r="L2251"/>
      <c r="M2251"/>
      <c r="N2251"/>
      <c r="O2251"/>
    </row>
    <row r="2252" spans="1:15" ht="18" x14ac:dyDescent="0.55000000000000004">
      <c r="A2252"/>
      <c r="B2252"/>
      <c r="C2252"/>
      <c r="D2252"/>
      <c r="E2252"/>
      <c r="F2252"/>
      <c r="G2252"/>
      <c r="H2252"/>
      <c r="I2252"/>
      <c r="J2252" s="44"/>
      <c r="K2252"/>
      <c r="L2252"/>
      <c r="M2252"/>
      <c r="N2252"/>
      <c r="O2252"/>
    </row>
    <row r="2253" spans="1:15" ht="18" x14ac:dyDescent="0.55000000000000004">
      <c r="A2253"/>
      <c r="B2253"/>
      <c r="C2253"/>
      <c r="D2253"/>
      <c r="E2253"/>
      <c r="F2253"/>
      <c r="G2253"/>
      <c r="H2253"/>
      <c r="I2253"/>
      <c r="J2253" s="44"/>
      <c r="K2253"/>
      <c r="L2253"/>
      <c r="M2253"/>
      <c r="N2253"/>
      <c r="O2253"/>
    </row>
    <row r="2254" spans="1:15" ht="18" x14ac:dyDescent="0.55000000000000004">
      <c r="A2254"/>
      <c r="B2254"/>
      <c r="C2254"/>
      <c r="D2254"/>
      <c r="E2254"/>
      <c r="F2254"/>
      <c r="G2254"/>
      <c r="H2254"/>
      <c r="I2254"/>
      <c r="J2254" s="44"/>
      <c r="K2254"/>
      <c r="L2254"/>
      <c r="M2254"/>
      <c r="N2254"/>
      <c r="O2254"/>
    </row>
    <row r="2255" spans="1:15" ht="18" x14ac:dyDescent="0.55000000000000004">
      <c r="A2255"/>
      <c r="B2255"/>
      <c r="C2255"/>
      <c r="D2255"/>
      <c r="E2255"/>
      <c r="F2255"/>
      <c r="G2255"/>
      <c r="H2255"/>
      <c r="I2255"/>
      <c r="J2255" s="44"/>
      <c r="K2255"/>
      <c r="L2255"/>
      <c r="M2255"/>
      <c r="N2255"/>
      <c r="O2255"/>
    </row>
    <row r="2256" spans="1:15" ht="18" x14ac:dyDescent="0.55000000000000004">
      <c r="A2256"/>
      <c r="B2256"/>
      <c r="C2256"/>
      <c r="D2256"/>
      <c r="E2256"/>
      <c r="F2256"/>
      <c r="G2256"/>
      <c r="H2256"/>
      <c r="I2256"/>
      <c r="J2256" s="44"/>
      <c r="K2256"/>
      <c r="L2256"/>
      <c r="M2256"/>
      <c r="N2256"/>
      <c r="O2256"/>
    </row>
    <row r="2257" spans="1:15" ht="18" x14ac:dyDescent="0.55000000000000004">
      <c r="A2257"/>
      <c r="B2257"/>
      <c r="C2257"/>
      <c r="D2257"/>
      <c r="E2257"/>
      <c r="F2257"/>
      <c r="G2257"/>
      <c r="H2257"/>
      <c r="I2257"/>
      <c r="J2257" s="44"/>
      <c r="K2257"/>
      <c r="L2257"/>
      <c r="M2257"/>
      <c r="N2257"/>
      <c r="O2257"/>
    </row>
    <row r="2258" spans="1:15" ht="18" x14ac:dyDescent="0.55000000000000004">
      <c r="A2258"/>
      <c r="B2258"/>
      <c r="C2258"/>
      <c r="D2258"/>
      <c r="E2258"/>
      <c r="F2258"/>
      <c r="G2258"/>
      <c r="H2258"/>
      <c r="I2258"/>
      <c r="J2258" s="44"/>
      <c r="K2258"/>
      <c r="L2258"/>
      <c r="M2258"/>
      <c r="N2258"/>
      <c r="O2258"/>
    </row>
    <row r="2259" spans="1:15" ht="18" x14ac:dyDescent="0.55000000000000004">
      <c r="A2259"/>
      <c r="B2259"/>
      <c r="C2259"/>
      <c r="D2259"/>
      <c r="E2259"/>
      <c r="F2259"/>
      <c r="G2259"/>
      <c r="H2259"/>
      <c r="I2259"/>
      <c r="J2259" s="44"/>
      <c r="K2259"/>
      <c r="L2259"/>
      <c r="M2259"/>
      <c r="N2259"/>
      <c r="O2259"/>
    </row>
    <row r="2260" spans="1:15" ht="18" x14ac:dyDescent="0.55000000000000004">
      <c r="A2260"/>
      <c r="B2260"/>
      <c r="C2260"/>
      <c r="D2260"/>
      <c r="E2260"/>
      <c r="F2260"/>
      <c r="G2260"/>
      <c r="H2260"/>
      <c r="I2260"/>
      <c r="J2260" s="44"/>
      <c r="K2260"/>
      <c r="L2260"/>
      <c r="M2260"/>
      <c r="N2260"/>
      <c r="O2260"/>
    </row>
    <row r="2261" spans="1:15" ht="18" x14ac:dyDescent="0.55000000000000004">
      <c r="A2261"/>
      <c r="B2261"/>
      <c r="C2261"/>
      <c r="D2261"/>
      <c r="E2261"/>
      <c r="F2261"/>
      <c r="G2261"/>
      <c r="H2261"/>
      <c r="I2261"/>
      <c r="J2261" s="44"/>
      <c r="K2261"/>
      <c r="L2261"/>
      <c r="M2261"/>
      <c r="N2261"/>
      <c r="O2261"/>
    </row>
    <row r="2262" spans="1:15" ht="18" x14ac:dyDescent="0.55000000000000004">
      <c r="A2262"/>
      <c r="B2262"/>
      <c r="C2262"/>
      <c r="D2262"/>
      <c r="E2262"/>
      <c r="F2262"/>
      <c r="G2262"/>
      <c r="H2262"/>
      <c r="I2262"/>
      <c r="J2262" s="44"/>
      <c r="K2262"/>
      <c r="L2262"/>
      <c r="M2262"/>
      <c r="N2262"/>
      <c r="O2262"/>
    </row>
    <row r="2263" spans="1:15" ht="18" x14ac:dyDescent="0.55000000000000004">
      <c r="A2263"/>
      <c r="B2263"/>
      <c r="C2263"/>
      <c r="D2263"/>
      <c r="E2263"/>
      <c r="F2263"/>
      <c r="G2263"/>
      <c r="H2263"/>
      <c r="I2263"/>
      <c r="J2263" s="44"/>
      <c r="K2263"/>
      <c r="L2263"/>
      <c r="M2263"/>
      <c r="N2263"/>
      <c r="O2263"/>
    </row>
    <row r="2264" spans="1:15" ht="18" x14ac:dyDescent="0.55000000000000004">
      <c r="A2264"/>
      <c r="B2264"/>
      <c r="C2264"/>
      <c r="D2264"/>
      <c r="E2264"/>
      <c r="F2264"/>
      <c r="G2264"/>
      <c r="H2264"/>
      <c r="I2264"/>
      <c r="J2264" s="44"/>
      <c r="K2264"/>
      <c r="L2264"/>
      <c r="M2264"/>
      <c r="N2264"/>
      <c r="O2264"/>
    </row>
    <row r="2265" spans="1:15" ht="18" x14ac:dyDescent="0.55000000000000004">
      <c r="A2265"/>
      <c r="B2265"/>
      <c r="C2265"/>
      <c r="D2265"/>
      <c r="E2265"/>
      <c r="F2265"/>
      <c r="G2265"/>
      <c r="H2265"/>
      <c r="I2265"/>
      <c r="J2265" s="44"/>
      <c r="K2265"/>
      <c r="L2265"/>
      <c r="M2265"/>
      <c r="N2265"/>
      <c r="O2265"/>
    </row>
    <row r="2266" spans="1:15" ht="18" x14ac:dyDescent="0.55000000000000004">
      <c r="A2266"/>
      <c r="B2266"/>
      <c r="C2266"/>
      <c r="D2266"/>
      <c r="E2266"/>
      <c r="F2266"/>
      <c r="G2266"/>
      <c r="H2266"/>
      <c r="I2266"/>
      <c r="J2266" s="44"/>
      <c r="K2266"/>
      <c r="L2266"/>
      <c r="M2266"/>
      <c r="N2266"/>
      <c r="O2266"/>
    </row>
    <row r="2267" spans="1:15" ht="18" x14ac:dyDescent="0.55000000000000004">
      <c r="A2267"/>
      <c r="B2267"/>
      <c r="C2267"/>
      <c r="D2267"/>
      <c r="E2267"/>
      <c r="F2267"/>
      <c r="G2267"/>
      <c r="H2267"/>
      <c r="I2267"/>
      <c r="J2267" s="44"/>
      <c r="K2267"/>
      <c r="L2267"/>
      <c r="M2267"/>
      <c r="N2267"/>
      <c r="O2267"/>
    </row>
    <row r="2268" spans="1:15" ht="18" x14ac:dyDescent="0.55000000000000004">
      <c r="A2268"/>
      <c r="B2268"/>
      <c r="C2268"/>
      <c r="D2268"/>
      <c r="E2268"/>
      <c r="F2268"/>
      <c r="G2268"/>
      <c r="H2268"/>
      <c r="I2268"/>
      <c r="J2268" s="44"/>
      <c r="K2268"/>
      <c r="L2268"/>
      <c r="M2268"/>
      <c r="N2268"/>
      <c r="O2268"/>
    </row>
  </sheetData>
  <phoneticPr fontId="1"/>
  <conditionalFormatting sqref="B2:B57 D2:D57 J2:K57">
    <cfRule type="expression" dxfId="6" priority="1" stopIfTrue="1">
      <formula>AND($A2&lt;&gt;"",B2="")</formula>
    </cfRule>
  </conditionalFormatting>
  <conditionalFormatting sqref="E22">
    <cfRule type="containsBlanks" dxfId="5" priority="2" stopIfTrue="1">
      <formula>LEN(TRIM(E22))=0</formula>
    </cfRule>
  </conditionalFormatting>
  <conditionalFormatting sqref="F2:G2 F12:G12 G14 F15:G15 G16 F17:G17 G18 F26:G26">
    <cfRule type="containsBlanks" dxfId="4" priority="3" stopIfTrue="1">
      <formula>LEN(TRIM(F2))=0</formula>
    </cfRule>
  </conditionalFormatting>
  <dataValidations count="10">
    <dataValidation imeMode="on" allowBlank="1" showInputMessage="1" showErrorMessage="1" sqref="A2269:A1048576 A1 K1 K2269:K1048576" xr:uid="{82371562-DA48-418A-B9E1-F875CA10CC30}"/>
    <dataValidation imeMode="off" allowBlank="1" showInputMessage="1" showErrorMessage="1" sqref="E1:J1 E2269:J1048576 B1 B2269:B1048576" xr:uid="{A44170C6-B920-46F2-AEA3-D4E9954343F7}"/>
    <dataValidation type="list" allowBlank="1" showInputMessage="1" showErrorMessage="1" sqref="D2:D57" xr:uid="{6091F766-549A-4FBC-838C-8FA76185EF42}">
      <formula1>ドメインタイプKEY</formula1>
    </dataValidation>
    <dataValidation imeMode="on" allowBlank="1" showInputMessage="1" showErrorMessage="1" sqref="A2:A57 K2:K57" xr:uid="{4AF4A9FE-2746-4D7C-A478-E6BFE2796FF0}"/>
    <dataValidation imeMode="off" allowBlank="1" showInputMessage="1" showErrorMessage="1" sqref="B2:B57" xr:uid="{0A5BB961-C58A-4A8F-9B96-1978BE783FA5}"/>
    <dataValidation imeMode="off" allowBlank="1" showInputMessage="1" showErrorMessage="1" sqref="E22" xr:uid="{14817627-B573-40A7-ADDD-88D21B250A0A}"/>
    <dataValidation imeMode="off" allowBlank="1" showInputMessage="1" showErrorMessage="1" sqref="E7 E14 E16 E18" xr:uid="{41D395A7-CD7A-4525-962C-3A40810B3201}"/>
    <dataValidation type="whole" imeMode="off" allowBlank="1" showInputMessage="1" showErrorMessage="1" error="0-1000の間で入力可能" sqref="F2:G2 F12:G12 G14 F15:G15 G16 F17:G17 G18 F26:G26" xr:uid="{3DA76A88-1EAB-4AC3-8DCD-D9F7B2DBEC38}">
      <formula1>0</formula1>
      <formula2>1000</formula2>
    </dataValidation>
    <dataValidation type="whole" imeMode="off" allowBlank="1" showInputMessage="1" showErrorMessage="1" error="0-1000の間で入力可能" sqref="F6:F7 F9 F14 F16 F18 F24" xr:uid="{99D7CF87-00DB-49DD-A9BD-AA65A3B0DD3D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885B043C-6AFD-4760-8B18-8614EAA55AAC}">
      <formula1>0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624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1" width="8.6640625" style="29"/>
    <col min="2" max="2" width="18.9140625" style="29" customWidth="1"/>
    <col min="3" max="3" width="11.08203125" style="29" bestFit="1" customWidth="1"/>
    <col min="4" max="4" width="13.75" style="29" customWidth="1"/>
    <col min="5" max="5" width="19" style="29" customWidth="1"/>
    <col min="6" max="16384" width="8.6640625" style="29"/>
  </cols>
  <sheetData>
    <row r="1" spans="1:5" s="23" customFormat="1" ht="26" x14ac:dyDescent="0.55000000000000004">
      <c r="A1" s="18" t="s">
        <v>78</v>
      </c>
      <c r="B1" s="27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93</v>
      </c>
      <c r="C2" s="38" t="s">
        <v>109</v>
      </c>
      <c r="D2" s="26" t="str">
        <f t="shared" ref="D2:D35" si="0">camel2snake(C2)</f>
        <v>campane_price</v>
      </c>
      <c r="E2" s="38" t="s">
        <v>94</v>
      </c>
    </row>
    <row r="3" spans="1:5" x14ac:dyDescent="0.55000000000000004">
      <c r="A3" s="38" t="s">
        <v>132</v>
      </c>
      <c r="B3" s="38" t="s">
        <v>142</v>
      </c>
      <c r="C3" s="38" t="s">
        <v>143</v>
      </c>
      <c r="D3" s="26" t="str">
        <f t="shared" si="0"/>
        <v>order_pic</v>
      </c>
      <c r="E3" s="38" t="s">
        <v>145</v>
      </c>
    </row>
    <row r="4" spans="1:5" x14ac:dyDescent="0.55000000000000004">
      <c r="A4" s="38" t="s">
        <v>132</v>
      </c>
      <c r="B4" s="38" t="s">
        <v>144</v>
      </c>
      <c r="C4" s="38" t="s">
        <v>185</v>
      </c>
      <c r="D4" s="26" t="str">
        <f t="shared" si="0"/>
        <v>product_pic</v>
      </c>
      <c r="E4" s="38" t="s">
        <v>146</v>
      </c>
    </row>
    <row r="5" spans="1:5" x14ac:dyDescent="0.55000000000000004">
      <c r="A5" s="38" t="s">
        <v>125</v>
      </c>
      <c r="B5" s="38" t="s">
        <v>186</v>
      </c>
      <c r="C5" s="38" t="s">
        <v>187</v>
      </c>
      <c r="D5" s="26" t="str">
        <f t="shared" si="0"/>
        <v>salese_department</v>
      </c>
      <c r="E5" s="38" t="s">
        <v>186</v>
      </c>
    </row>
    <row r="6" spans="1:5" x14ac:dyDescent="0.55000000000000004">
      <c r="A6" s="38"/>
      <c r="B6" s="38"/>
      <c r="C6" s="38"/>
      <c r="D6" s="26" t="str">
        <f t="shared" si="0"/>
        <v/>
      </c>
      <c r="E6" s="38"/>
    </row>
    <row r="7" spans="1:5" x14ac:dyDescent="0.55000000000000004">
      <c r="A7" s="38"/>
      <c r="B7" s="38"/>
      <c r="C7" s="38"/>
      <c r="D7" s="26" t="str">
        <f t="shared" si="0"/>
        <v/>
      </c>
      <c r="E7" s="38"/>
    </row>
    <row r="8" spans="1:5" x14ac:dyDescent="0.55000000000000004">
      <c r="A8" s="38"/>
      <c r="B8" s="38"/>
      <c r="C8" s="38"/>
      <c r="D8" s="26" t="str">
        <f t="shared" si="0"/>
        <v/>
      </c>
      <c r="E8" s="38"/>
    </row>
    <row r="9" spans="1:5" x14ac:dyDescent="0.55000000000000004">
      <c r="A9" s="38"/>
      <c r="B9" s="38"/>
      <c r="C9" s="38"/>
      <c r="D9" s="26" t="str">
        <f t="shared" si="0"/>
        <v/>
      </c>
      <c r="E9" s="38"/>
    </row>
    <row r="10" spans="1:5" x14ac:dyDescent="0.55000000000000004">
      <c r="A10" s="38"/>
      <c r="B10" s="38"/>
      <c r="C10" s="38"/>
      <c r="D10" s="26" t="str">
        <f t="shared" si="0"/>
        <v/>
      </c>
      <c r="E10" s="38"/>
    </row>
    <row r="11" spans="1:5" x14ac:dyDescent="0.55000000000000004">
      <c r="A11" s="38"/>
      <c r="B11" s="38"/>
      <c r="C11" s="38"/>
      <c r="D11" s="26" t="str">
        <f t="shared" si="0"/>
        <v/>
      </c>
      <c r="E11" s="38"/>
    </row>
    <row r="12" spans="1:5" x14ac:dyDescent="0.55000000000000004">
      <c r="A12" s="38"/>
      <c r="B12" s="38"/>
      <c r="C12" s="38"/>
      <c r="D12" s="26" t="str">
        <f t="shared" si="0"/>
        <v/>
      </c>
      <c r="E12" s="38"/>
    </row>
    <row r="13" spans="1:5" x14ac:dyDescent="0.55000000000000004">
      <c r="A13" s="38"/>
      <c r="B13" s="38"/>
      <c r="C13" s="38"/>
      <c r="D13" s="26" t="str">
        <f t="shared" si="0"/>
        <v/>
      </c>
      <c r="E13" s="38"/>
    </row>
    <row r="14" spans="1:5" x14ac:dyDescent="0.55000000000000004">
      <c r="A14" s="38"/>
      <c r="B14" s="38"/>
      <c r="C14" s="38"/>
      <c r="D14" s="26" t="str">
        <f t="shared" si="0"/>
        <v/>
      </c>
      <c r="E14" s="38"/>
    </row>
    <row r="15" spans="1:5" x14ac:dyDescent="0.55000000000000004">
      <c r="A15" s="38"/>
      <c r="B15" s="38"/>
      <c r="C15" s="38"/>
      <c r="D15" s="26" t="str">
        <f t="shared" si="0"/>
        <v/>
      </c>
      <c r="E15" s="38"/>
    </row>
    <row r="16" spans="1:5" x14ac:dyDescent="0.55000000000000004">
      <c r="A16" s="38"/>
      <c r="B16" s="38"/>
      <c r="C16" s="38"/>
      <c r="D16" s="26" t="str">
        <f t="shared" si="0"/>
        <v/>
      </c>
      <c r="E16" s="38"/>
    </row>
    <row r="17" spans="1:5" x14ac:dyDescent="0.55000000000000004">
      <c r="A17" s="38"/>
      <c r="B17" s="38"/>
      <c r="C17" s="38"/>
      <c r="D17" s="26" t="str">
        <f t="shared" si="0"/>
        <v/>
      </c>
      <c r="E17" s="38"/>
    </row>
    <row r="18" spans="1:5" x14ac:dyDescent="0.55000000000000004">
      <c r="A18" s="38"/>
      <c r="B18" s="38"/>
      <c r="C18" s="38"/>
      <c r="D18" s="26" t="str">
        <f t="shared" si="0"/>
        <v/>
      </c>
      <c r="E18" s="38"/>
    </row>
    <row r="19" spans="1:5" x14ac:dyDescent="0.55000000000000004">
      <c r="A19" s="38"/>
      <c r="B19" s="38"/>
      <c r="C19" s="38"/>
      <c r="D19" s="26" t="str">
        <f t="shared" si="0"/>
        <v/>
      </c>
      <c r="E19" s="38"/>
    </row>
    <row r="20" spans="1:5" x14ac:dyDescent="0.55000000000000004">
      <c r="A20" s="38"/>
      <c r="B20" s="38"/>
      <c r="C20" s="38"/>
      <c r="D20" s="26" t="str">
        <f t="shared" si="0"/>
        <v/>
      </c>
      <c r="E20" s="38"/>
    </row>
    <row r="21" spans="1:5" x14ac:dyDescent="0.55000000000000004">
      <c r="A21" s="38"/>
      <c r="B21" s="38"/>
      <c r="C21" s="38"/>
      <c r="D21" s="26" t="str">
        <f t="shared" si="0"/>
        <v/>
      </c>
      <c r="E21" s="38"/>
    </row>
    <row r="22" spans="1:5" x14ac:dyDescent="0.55000000000000004">
      <c r="A22" s="38"/>
      <c r="B22" s="38"/>
      <c r="C22" s="38"/>
      <c r="D22" s="26" t="str">
        <f t="shared" si="0"/>
        <v/>
      </c>
      <c r="E22" s="38"/>
    </row>
    <row r="23" spans="1:5" x14ac:dyDescent="0.55000000000000004">
      <c r="A23" s="38"/>
      <c r="B23" s="38"/>
      <c r="C23" s="38"/>
      <c r="D23" s="26" t="str">
        <f t="shared" si="0"/>
        <v/>
      </c>
      <c r="E23" s="38"/>
    </row>
    <row r="24" spans="1:5" x14ac:dyDescent="0.55000000000000004">
      <c r="A24" s="38"/>
      <c r="B24" s="38"/>
      <c r="C24" s="38"/>
      <c r="D24" s="26" t="str">
        <f t="shared" si="0"/>
        <v/>
      </c>
      <c r="E24" s="38"/>
    </row>
    <row r="25" spans="1:5" x14ac:dyDescent="0.55000000000000004">
      <c r="A25" s="38"/>
      <c r="B25" s="38"/>
      <c r="C25" s="38"/>
      <c r="D25" s="26" t="str">
        <f t="shared" si="0"/>
        <v/>
      </c>
      <c r="E25" s="38"/>
    </row>
    <row r="26" spans="1:5" x14ac:dyDescent="0.55000000000000004">
      <c r="A26" s="38"/>
      <c r="B26" s="38"/>
      <c r="C26" s="38"/>
      <c r="D26" s="26" t="str">
        <f t="shared" si="0"/>
        <v/>
      </c>
      <c r="E26" s="38"/>
    </row>
    <row r="27" spans="1:5" x14ac:dyDescent="0.55000000000000004">
      <c r="A27" s="38"/>
      <c r="B27" s="38"/>
      <c r="C27" s="38"/>
      <c r="D27" s="26" t="str">
        <f t="shared" si="0"/>
        <v/>
      </c>
      <c r="E27" s="38"/>
    </row>
    <row r="28" spans="1:5" x14ac:dyDescent="0.55000000000000004">
      <c r="A28" s="38"/>
      <c r="B28" s="38"/>
      <c r="C28" s="38"/>
      <c r="D28" s="26" t="str">
        <f t="shared" si="0"/>
        <v/>
      </c>
      <c r="E28" s="38"/>
    </row>
    <row r="29" spans="1:5" x14ac:dyDescent="0.55000000000000004">
      <c r="A29" s="38"/>
      <c r="B29" s="38"/>
      <c r="C29" s="38"/>
      <c r="D29" s="26" t="str">
        <f t="shared" si="0"/>
        <v/>
      </c>
      <c r="E29" s="38"/>
    </row>
    <row r="30" spans="1:5" x14ac:dyDescent="0.55000000000000004">
      <c r="A30" s="38"/>
      <c r="B30" s="38"/>
      <c r="C30" s="38"/>
      <c r="D30" s="26" t="str">
        <f t="shared" si="0"/>
        <v/>
      </c>
      <c r="E30" s="38"/>
    </row>
    <row r="31" spans="1:5" x14ac:dyDescent="0.55000000000000004">
      <c r="A31" s="38"/>
      <c r="B31" s="38"/>
      <c r="C31" s="38"/>
      <c r="D31" s="26" t="str">
        <f t="shared" si="0"/>
        <v/>
      </c>
      <c r="E31" s="38"/>
    </row>
    <row r="32" spans="1:5" x14ac:dyDescent="0.55000000000000004">
      <c r="A32" s="38"/>
      <c r="B32" s="38"/>
      <c r="C32" s="38"/>
      <c r="D32" s="26" t="str">
        <f t="shared" si="0"/>
        <v/>
      </c>
      <c r="E32" s="38"/>
    </row>
    <row r="33" spans="1:5" x14ac:dyDescent="0.55000000000000004">
      <c r="A33" s="38"/>
      <c r="B33" s="38"/>
      <c r="C33" s="38"/>
      <c r="D33" s="26" t="str">
        <f t="shared" si="0"/>
        <v/>
      </c>
      <c r="E33" s="38"/>
    </row>
    <row r="34" spans="1:5" x14ac:dyDescent="0.55000000000000004">
      <c r="A34" s="38"/>
      <c r="B34" s="38"/>
      <c r="C34" s="38"/>
      <c r="D34" s="26" t="str">
        <f t="shared" si="0"/>
        <v/>
      </c>
      <c r="E34" s="38"/>
    </row>
    <row r="35" spans="1:5" x14ac:dyDescent="0.55000000000000004">
      <c r="A35" s="39"/>
      <c r="B35" s="39"/>
      <c r="C35" s="39"/>
      <c r="D35" s="36" t="str">
        <f t="shared" si="0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  <row r="576" spans="1:5" ht="18" x14ac:dyDescent="0.55000000000000004">
      <c r="A576"/>
      <c r="B576"/>
      <c r="C576"/>
      <c r="D576"/>
      <c r="E576"/>
    </row>
    <row r="577" spans="1:5" ht="18" x14ac:dyDescent="0.55000000000000004">
      <c r="A577"/>
      <c r="B577"/>
      <c r="C577"/>
      <c r="D577"/>
      <c r="E577"/>
    </row>
    <row r="578" spans="1:5" ht="18" x14ac:dyDescent="0.55000000000000004">
      <c r="A578"/>
      <c r="B578"/>
      <c r="C578"/>
      <c r="D578"/>
      <c r="E578"/>
    </row>
    <row r="579" spans="1:5" ht="18" x14ac:dyDescent="0.55000000000000004">
      <c r="A579"/>
      <c r="B579"/>
      <c r="C579"/>
      <c r="D579"/>
      <c r="E579"/>
    </row>
    <row r="580" spans="1:5" ht="18" x14ac:dyDescent="0.55000000000000004">
      <c r="A580"/>
      <c r="B580"/>
      <c r="C580"/>
      <c r="D580"/>
      <c r="E580"/>
    </row>
    <row r="581" spans="1:5" ht="18" x14ac:dyDescent="0.55000000000000004">
      <c r="A581"/>
      <c r="B581"/>
      <c r="C581"/>
      <c r="D581"/>
      <c r="E581"/>
    </row>
    <row r="582" spans="1:5" ht="18" x14ac:dyDescent="0.55000000000000004">
      <c r="A582"/>
      <c r="B582"/>
      <c r="C582"/>
      <c r="D582"/>
      <c r="E582"/>
    </row>
    <row r="583" spans="1:5" ht="18" x14ac:dyDescent="0.55000000000000004">
      <c r="A583"/>
      <c r="B583"/>
      <c r="C583"/>
      <c r="D583"/>
      <c r="E583"/>
    </row>
    <row r="584" spans="1:5" ht="18" x14ac:dyDescent="0.55000000000000004">
      <c r="A584"/>
      <c r="B584"/>
      <c r="C584"/>
      <c r="D584"/>
      <c r="E584"/>
    </row>
    <row r="585" spans="1:5" ht="18" x14ac:dyDescent="0.55000000000000004">
      <c r="A585"/>
      <c r="B585"/>
      <c r="C585"/>
      <c r="D585"/>
      <c r="E585"/>
    </row>
    <row r="586" spans="1:5" ht="18" x14ac:dyDescent="0.55000000000000004">
      <c r="A586"/>
      <c r="B586"/>
      <c r="C586"/>
      <c r="D586"/>
      <c r="E586"/>
    </row>
    <row r="587" spans="1:5" ht="18" x14ac:dyDescent="0.55000000000000004">
      <c r="A587"/>
      <c r="B587"/>
      <c r="C587"/>
      <c r="D587"/>
      <c r="E587"/>
    </row>
    <row r="588" spans="1:5" ht="18" x14ac:dyDescent="0.55000000000000004">
      <c r="A588"/>
      <c r="B588"/>
      <c r="C588"/>
      <c r="D588"/>
      <c r="E588"/>
    </row>
    <row r="589" spans="1:5" ht="18" x14ac:dyDescent="0.55000000000000004">
      <c r="A589"/>
      <c r="B589"/>
      <c r="C589"/>
      <c r="D589"/>
      <c r="E589"/>
    </row>
    <row r="590" spans="1:5" ht="18" x14ac:dyDescent="0.55000000000000004">
      <c r="A590"/>
      <c r="B590"/>
      <c r="C590"/>
      <c r="D590"/>
      <c r="E590"/>
    </row>
    <row r="591" spans="1:5" ht="18" x14ac:dyDescent="0.55000000000000004">
      <c r="A591"/>
      <c r="B591"/>
      <c r="C591"/>
      <c r="D591"/>
      <c r="E591"/>
    </row>
    <row r="592" spans="1:5" ht="18" x14ac:dyDescent="0.55000000000000004">
      <c r="A592"/>
      <c r="B592"/>
      <c r="C592"/>
      <c r="D592"/>
      <c r="E592"/>
    </row>
    <row r="593" spans="1:5" ht="18" x14ac:dyDescent="0.55000000000000004">
      <c r="A593"/>
      <c r="B593"/>
      <c r="C593"/>
      <c r="D593"/>
      <c r="E593"/>
    </row>
    <row r="594" spans="1:5" ht="18" x14ac:dyDescent="0.55000000000000004">
      <c r="A594"/>
      <c r="B594"/>
      <c r="C594"/>
      <c r="D594"/>
      <c r="E594"/>
    </row>
    <row r="595" spans="1:5" ht="18" x14ac:dyDescent="0.55000000000000004">
      <c r="A595"/>
      <c r="B595"/>
      <c r="C595"/>
      <c r="D595"/>
      <c r="E595"/>
    </row>
    <row r="596" spans="1:5" ht="18" x14ac:dyDescent="0.55000000000000004">
      <c r="A596"/>
      <c r="B596"/>
      <c r="C596"/>
      <c r="D596"/>
      <c r="E596"/>
    </row>
    <row r="597" spans="1:5" ht="18" x14ac:dyDescent="0.55000000000000004">
      <c r="A597"/>
      <c r="B597"/>
      <c r="C597"/>
      <c r="D597"/>
      <c r="E597"/>
    </row>
    <row r="598" spans="1:5" ht="18" x14ac:dyDescent="0.55000000000000004">
      <c r="A598"/>
      <c r="B598"/>
      <c r="C598"/>
      <c r="D598"/>
      <c r="E598"/>
    </row>
    <row r="599" spans="1:5" ht="18" x14ac:dyDescent="0.55000000000000004">
      <c r="A599"/>
      <c r="B599"/>
      <c r="C599"/>
      <c r="D599"/>
      <c r="E599"/>
    </row>
    <row r="600" spans="1:5" ht="18" x14ac:dyDescent="0.55000000000000004">
      <c r="A600"/>
      <c r="B600"/>
      <c r="C600"/>
      <c r="D600"/>
      <c r="E600"/>
    </row>
    <row r="601" spans="1:5" ht="18" x14ac:dyDescent="0.55000000000000004">
      <c r="A601"/>
      <c r="B601"/>
      <c r="C601"/>
      <c r="D601"/>
      <c r="E601"/>
    </row>
    <row r="602" spans="1:5" ht="18" x14ac:dyDescent="0.55000000000000004">
      <c r="A602"/>
      <c r="B602"/>
      <c r="C602"/>
      <c r="D602"/>
      <c r="E602"/>
    </row>
    <row r="603" spans="1:5" ht="18" x14ac:dyDescent="0.55000000000000004">
      <c r="A603"/>
      <c r="B603"/>
      <c r="C603"/>
      <c r="D603"/>
      <c r="E603"/>
    </row>
    <row r="604" spans="1:5" ht="18" x14ac:dyDescent="0.55000000000000004">
      <c r="A604"/>
      <c r="B604"/>
      <c r="C604"/>
      <c r="D604"/>
      <c r="E604"/>
    </row>
    <row r="605" spans="1:5" ht="18" x14ac:dyDescent="0.55000000000000004">
      <c r="A605"/>
      <c r="B605"/>
      <c r="C605"/>
      <c r="D605"/>
      <c r="E605"/>
    </row>
    <row r="606" spans="1:5" ht="18" x14ac:dyDescent="0.55000000000000004">
      <c r="A606"/>
      <c r="B606"/>
      <c r="C606"/>
      <c r="D606"/>
      <c r="E606"/>
    </row>
    <row r="607" spans="1:5" ht="18" x14ac:dyDescent="0.55000000000000004">
      <c r="A607"/>
      <c r="B607"/>
      <c r="C607"/>
      <c r="D607"/>
      <c r="E607"/>
    </row>
    <row r="608" spans="1:5" ht="18" x14ac:dyDescent="0.55000000000000004">
      <c r="A608"/>
      <c r="B608"/>
      <c r="C608"/>
      <c r="D608"/>
      <c r="E608"/>
    </row>
    <row r="609" spans="1:5" ht="18" x14ac:dyDescent="0.55000000000000004">
      <c r="A609"/>
      <c r="B609"/>
      <c r="C609"/>
      <c r="D609"/>
      <c r="E609"/>
    </row>
    <row r="610" spans="1:5" ht="18" x14ac:dyDescent="0.55000000000000004">
      <c r="A610"/>
      <c r="B610"/>
      <c r="C610"/>
      <c r="D610"/>
      <c r="E610"/>
    </row>
    <row r="611" spans="1:5" ht="18" x14ac:dyDescent="0.55000000000000004">
      <c r="A611"/>
      <c r="B611"/>
      <c r="C611"/>
      <c r="D611"/>
      <c r="E611"/>
    </row>
    <row r="612" spans="1:5" ht="18" x14ac:dyDescent="0.55000000000000004">
      <c r="A612"/>
      <c r="B612"/>
      <c r="C612"/>
      <c r="D612"/>
      <c r="E612"/>
    </row>
    <row r="613" spans="1:5" ht="18" x14ac:dyDescent="0.55000000000000004">
      <c r="A613"/>
      <c r="B613"/>
      <c r="C613"/>
      <c r="D613"/>
      <c r="E613"/>
    </row>
    <row r="614" spans="1:5" ht="18" x14ac:dyDescent="0.55000000000000004">
      <c r="A614"/>
      <c r="B614"/>
      <c r="C614"/>
      <c r="D614"/>
      <c r="E614"/>
    </row>
    <row r="615" spans="1:5" ht="18" x14ac:dyDescent="0.55000000000000004">
      <c r="A615"/>
      <c r="B615"/>
      <c r="C615"/>
      <c r="D615"/>
      <c r="E615"/>
    </row>
    <row r="616" spans="1:5" ht="18" x14ac:dyDescent="0.55000000000000004">
      <c r="A616"/>
      <c r="B616"/>
      <c r="C616"/>
      <c r="D616"/>
      <c r="E616"/>
    </row>
    <row r="617" spans="1:5" ht="18" x14ac:dyDescent="0.55000000000000004">
      <c r="A617"/>
      <c r="B617"/>
      <c r="C617"/>
      <c r="D617"/>
      <c r="E617"/>
    </row>
    <row r="618" spans="1:5" ht="18" x14ac:dyDescent="0.55000000000000004">
      <c r="A618"/>
      <c r="B618"/>
      <c r="C618"/>
      <c r="D618"/>
      <c r="E618"/>
    </row>
    <row r="619" spans="1:5" ht="18" x14ac:dyDescent="0.55000000000000004">
      <c r="A619"/>
      <c r="B619"/>
      <c r="C619"/>
      <c r="D619"/>
      <c r="E619"/>
    </row>
    <row r="620" spans="1:5" ht="18" x14ac:dyDescent="0.55000000000000004">
      <c r="A620"/>
      <c r="B620"/>
      <c r="C620"/>
      <c r="D620"/>
      <c r="E620"/>
    </row>
    <row r="621" spans="1:5" ht="18" x14ac:dyDescent="0.55000000000000004">
      <c r="A621"/>
      <c r="B621"/>
      <c r="C621"/>
      <c r="D621"/>
      <c r="E621"/>
    </row>
    <row r="622" spans="1:5" ht="18" x14ac:dyDescent="0.55000000000000004">
      <c r="A622"/>
      <c r="B622"/>
      <c r="C622"/>
      <c r="D622"/>
      <c r="E622"/>
    </row>
    <row r="623" spans="1:5" ht="18" x14ac:dyDescent="0.55000000000000004">
      <c r="A623"/>
      <c r="B623"/>
      <c r="C623"/>
      <c r="D623"/>
      <c r="E623"/>
    </row>
    <row r="624" spans="1:5" ht="18" x14ac:dyDescent="0.55000000000000004">
      <c r="A624"/>
      <c r="B624"/>
      <c r="C624"/>
      <c r="D624"/>
      <c r="E624"/>
    </row>
  </sheetData>
  <phoneticPr fontId="1"/>
  <conditionalFormatting sqref="A2:A35">
    <cfRule type="expression" dxfId="3" priority="1" stopIfTrue="1">
      <formula>AND(A2&lt;&gt;"",ISNA(MATCH(A2,項目リスト,0)))</formula>
    </cfRule>
  </conditionalFormatting>
  <conditionalFormatting sqref="B2:C35 E2:E35">
    <cfRule type="expression" dxfId="2" priority="2" stopIfTrue="1">
      <formula>AND($A2&lt;&gt;"",B2="")</formula>
    </cfRule>
  </conditionalFormatting>
  <dataValidations count="5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35" xr:uid="{FB9BE42E-68FD-4BF6-B9C0-FA191404D22B}">
      <formula1>項目リスト</formula1>
    </dataValidation>
    <dataValidation imeMode="on" allowBlank="1" showInputMessage="1" showErrorMessage="1" sqref="B2:B35 E2:E35" xr:uid="{491B35DC-2A9C-4E27-B058-97CF3C8700AF}"/>
    <dataValidation imeMode="off" allowBlank="1" showInputMessage="1" showErrorMessage="1" sqref="C2:C35" xr:uid="{E1AA6D6B-42E3-4FDE-8C3E-40143A534802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53"/>
  <sheetViews>
    <sheetView showGridLines="0" workbookViewId="0">
      <pane ySplit="1" topLeftCell="A2" activePane="bottomLeft" state="frozen"/>
      <selection activeCell="E5" sqref="E5"/>
      <selection pane="bottomLeft"/>
    </sheetView>
  </sheetViews>
  <sheetFormatPr defaultRowHeight="15" x14ac:dyDescent="0.55000000000000004"/>
  <cols>
    <col min="1" max="1" width="14.83203125" style="29" customWidth="1"/>
    <col min="2" max="2" width="10.9140625" style="29" customWidth="1"/>
    <col min="3" max="3" width="13.4140625" style="29" customWidth="1"/>
    <col min="4" max="4" width="19.08203125" style="29" customWidth="1"/>
    <col min="5" max="16384" width="8.6640625" style="29"/>
  </cols>
  <sheetData>
    <row r="1" spans="1:4" x14ac:dyDescent="0.55000000000000004">
      <c r="A1" s="18" t="s">
        <v>83</v>
      </c>
      <c r="B1" s="30" t="s">
        <v>9</v>
      </c>
      <c r="C1" s="19" t="s">
        <v>123</v>
      </c>
      <c r="D1" s="22" t="s">
        <v>6</v>
      </c>
    </row>
    <row r="2" spans="1:4" x14ac:dyDescent="0.55000000000000004">
      <c r="A2" s="38" t="s">
        <v>95</v>
      </c>
      <c r="B2" s="38" t="s">
        <v>120</v>
      </c>
      <c r="C2" s="38" t="s">
        <v>99</v>
      </c>
      <c r="D2" s="38" t="s">
        <v>100</v>
      </c>
    </row>
    <row r="3" spans="1:4" x14ac:dyDescent="0.55000000000000004">
      <c r="A3" s="38" t="s">
        <v>95</v>
      </c>
      <c r="B3" s="38" t="s">
        <v>124</v>
      </c>
      <c r="C3" s="38" t="s">
        <v>98</v>
      </c>
      <c r="D3" s="38" t="s">
        <v>101</v>
      </c>
    </row>
    <row r="4" spans="1:4" x14ac:dyDescent="0.55000000000000004">
      <c r="A4" s="38" t="s">
        <v>95</v>
      </c>
      <c r="B4" s="38" t="s">
        <v>121</v>
      </c>
      <c r="C4" s="38" t="s">
        <v>102</v>
      </c>
      <c r="D4" s="38" t="s">
        <v>105</v>
      </c>
    </row>
    <row r="5" spans="1:4" x14ac:dyDescent="0.55000000000000004">
      <c r="A5" s="38" t="s">
        <v>95</v>
      </c>
      <c r="B5" s="38" t="s">
        <v>122</v>
      </c>
      <c r="C5" s="38" t="s">
        <v>103</v>
      </c>
      <c r="D5" s="38" t="s">
        <v>104</v>
      </c>
    </row>
    <row r="6" spans="1:4" x14ac:dyDescent="0.55000000000000004">
      <c r="A6" s="38" t="s">
        <v>125</v>
      </c>
      <c r="B6" s="38" t="s">
        <v>147</v>
      </c>
      <c r="C6" s="38" t="s">
        <v>148</v>
      </c>
      <c r="D6" s="38" t="s">
        <v>149</v>
      </c>
    </row>
    <row r="7" spans="1:4" x14ac:dyDescent="0.55000000000000004">
      <c r="A7" s="38" t="s">
        <v>125</v>
      </c>
      <c r="B7" s="38" t="s">
        <v>150</v>
      </c>
      <c r="C7" s="38" t="s">
        <v>151</v>
      </c>
      <c r="D7" s="38" t="s">
        <v>152</v>
      </c>
    </row>
    <row r="8" spans="1:4" x14ac:dyDescent="0.55000000000000004">
      <c r="A8" s="38" t="s">
        <v>125</v>
      </c>
      <c r="B8" s="38" t="s">
        <v>153</v>
      </c>
      <c r="C8" s="38" t="s">
        <v>154</v>
      </c>
      <c r="D8" s="38" t="s">
        <v>155</v>
      </c>
    </row>
    <row r="9" spans="1:4" x14ac:dyDescent="0.55000000000000004">
      <c r="A9" s="38" t="s">
        <v>125</v>
      </c>
      <c r="B9" s="38" t="s">
        <v>156</v>
      </c>
      <c r="C9" s="38" t="s">
        <v>157</v>
      </c>
      <c r="D9" s="38" t="s">
        <v>158</v>
      </c>
    </row>
    <row r="10" spans="1:4" x14ac:dyDescent="0.55000000000000004">
      <c r="A10" s="38" t="s">
        <v>125</v>
      </c>
      <c r="B10" s="38" t="s">
        <v>159</v>
      </c>
      <c r="C10" s="38" t="s">
        <v>160</v>
      </c>
      <c r="D10" s="38" t="s">
        <v>161</v>
      </c>
    </row>
    <row r="11" spans="1:4" x14ac:dyDescent="0.55000000000000004">
      <c r="A11" s="38" t="s">
        <v>193</v>
      </c>
      <c r="B11" s="38" t="s">
        <v>199</v>
      </c>
      <c r="C11" s="38" t="s">
        <v>200</v>
      </c>
      <c r="D11" s="38" t="s">
        <v>200</v>
      </c>
    </row>
    <row r="12" spans="1:4" x14ac:dyDescent="0.55000000000000004">
      <c r="A12" s="38" t="s">
        <v>193</v>
      </c>
      <c r="B12" s="38" t="s">
        <v>197</v>
      </c>
      <c r="C12" s="38" t="s">
        <v>98</v>
      </c>
      <c r="D12" s="38" t="s">
        <v>201</v>
      </c>
    </row>
    <row r="13" spans="1:4" x14ac:dyDescent="0.55000000000000004">
      <c r="A13" s="38" t="s">
        <v>193</v>
      </c>
      <c r="B13" s="38" t="s">
        <v>202</v>
      </c>
      <c r="C13" s="38" t="s">
        <v>203</v>
      </c>
      <c r="D13" s="38" t="s">
        <v>203</v>
      </c>
    </row>
    <row r="14" spans="1:4" x14ac:dyDescent="0.55000000000000004">
      <c r="A14" s="38" t="s">
        <v>193</v>
      </c>
      <c r="B14" s="38" t="s">
        <v>204</v>
      </c>
      <c r="C14" s="38" t="s">
        <v>205</v>
      </c>
      <c r="D14" s="38" t="s">
        <v>205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  <row r="921" spans="1:4" ht="18" x14ac:dyDescent="0.55000000000000004">
      <c r="A921"/>
      <c r="B921"/>
      <c r="C921"/>
      <c r="D921"/>
    </row>
    <row r="922" spans="1:4" ht="18" x14ac:dyDescent="0.55000000000000004">
      <c r="A922"/>
      <c r="B922"/>
      <c r="C922"/>
      <c r="D922"/>
    </row>
    <row r="923" spans="1:4" ht="18" x14ac:dyDescent="0.55000000000000004">
      <c r="A923"/>
      <c r="B923"/>
      <c r="C923"/>
      <c r="D923"/>
    </row>
    <row r="924" spans="1:4" ht="18" x14ac:dyDescent="0.55000000000000004">
      <c r="A924"/>
      <c r="B924"/>
      <c r="C924"/>
      <c r="D924"/>
    </row>
    <row r="925" spans="1:4" ht="18" x14ac:dyDescent="0.55000000000000004">
      <c r="A925"/>
      <c r="B925"/>
      <c r="C925"/>
      <c r="D925"/>
    </row>
    <row r="926" spans="1:4" ht="18" x14ac:dyDescent="0.55000000000000004">
      <c r="A926"/>
      <c r="B926"/>
      <c r="C926"/>
      <c r="D926"/>
    </row>
    <row r="927" spans="1:4" ht="18" x14ac:dyDescent="0.55000000000000004">
      <c r="A927"/>
      <c r="B927"/>
      <c r="C927"/>
      <c r="D927"/>
    </row>
    <row r="928" spans="1:4" ht="18" x14ac:dyDescent="0.55000000000000004">
      <c r="A928"/>
      <c r="B928"/>
      <c r="C928"/>
      <c r="D928"/>
    </row>
    <row r="929" spans="1:4" ht="18" x14ac:dyDescent="0.55000000000000004">
      <c r="A929"/>
      <c r="B929"/>
      <c r="C929"/>
      <c r="D929"/>
    </row>
    <row r="930" spans="1:4" ht="18" x14ac:dyDescent="0.55000000000000004">
      <c r="A930"/>
      <c r="B930"/>
      <c r="C930"/>
      <c r="D930"/>
    </row>
    <row r="931" spans="1:4" ht="18" x14ac:dyDescent="0.55000000000000004">
      <c r="A931"/>
      <c r="B931"/>
      <c r="C931"/>
      <c r="D931"/>
    </row>
    <row r="932" spans="1:4" ht="18" x14ac:dyDescent="0.55000000000000004">
      <c r="A932"/>
      <c r="B932"/>
      <c r="C932"/>
      <c r="D932"/>
    </row>
    <row r="933" spans="1:4" ht="18" x14ac:dyDescent="0.55000000000000004">
      <c r="A933"/>
      <c r="B933"/>
      <c r="C933"/>
      <c r="D933"/>
    </row>
    <row r="934" spans="1:4" ht="18" x14ac:dyDescent="0.55000000000000004">
      <c r="A934"/>
      <c r="B934"/>
      <c r="C934"/>
      <c r="D934"/>
    </row>
    <row r="935" spans="1:4" ht="18" x14ac:dyDescent="0.55000000000000004">
      <c r="A935"/>
      <c r="B935"/>
      <c r="C935"/>
      <c r="D935"/>
    </row>
    <row r="936" spans="1:4" ht="18" x14ac:dyDescent="0.55000000000000004">
      <c r="A936"/>
      <c r="B936"/>
      <c r="C936"/>
      <c r="D936"/>
    </row>
    <row r="937" spans="1:4" ht="18" x14ac:dyDescent="0.55000000000000004">
      <c r="A937"/>
      <c r="B937"/>
      <c r="C937"/>
      <c r="D937"/>
    </row>
    <row r="938" spans="1:4" ht="18" x14ac:dyDescent="0.55000000000000004">
      <c r="A938"/>
      <c r="B938"/>
      <c r="C938"/>
      <c r="D938"/>
    </row>
    <row r="939" spans="1:4" ht="18" x14ac:dyDescent="0.55000000000000004">
      <c r="A939"/>
      <c r="B939"/>
      <c r="C939"/>
      <c r="D939"/>
    </row>
    <row r="940" spans="1:4" ht="18" x14ac:dyDescent="0.55000000000000004">
      <c r="A940"/>
      <c r="B940"/>
      <c r="C940"/>
      <c r="D940"/>
    </row>
    <row r="941" spans="1:4" ht="18" x14ac:dyDescent="0.55000000000000004">
      <c r="A941"/>
      <c r="B941"/>
      <c r="C941"/>
      <c r="D941"/>
    </row>
    <row r="942" spans="1:4" ht="18" x14ac:dyDescent="0.55000000000000004">
      <c r="A942"/>
      <c r="B942"/>
      <c r="C942"/>
      <c r="D942"/>
    </row>
    <row r="943" spans="1:4" ht="18" x14ac:dyDescent="0.55000000000000004">
      <c r="A943"/>
      <c r="B943"/>
      <c r="C943"/>
      <c r="D943"/>
    </row>
    <row r="944" spans="1:4" ht="18" x14ac:dyDescent="0.55000000000000004">
      <c r="A944"/>
      <c r="B944"/>
      <c r="C944"/>
      <c r="D944"/>
    </row>
    <row r="945" spans="1:4" ht="18" x14ac:dyDescent="0.55000000000000004">
      <c r="A945"/>
      <c r="B945"/>
      <c r="C945"/>
      <c r="D945"/>
    </row>
    <row r="946" spans="1:4" ht="18" x14ac:dyDescent="0.55000000000000004">
      <c r="A946"/>
      <c r="B946"/>
      <c r="C946"/>
      <c r="D946"/>
    </row>
    <row r="947" spans="1:4" ht="18" x14ac:dyDescent="0.55000000000000004">
      <c r="A947"/>
      <c r="B947"/>
      <c r="C947"/>
      <c r="D947"/>
    </row>
    <row r="948" spans="1:4" ht="18" x14ac:dyDescent="0.55000000000000004">
      <c r="A948"/>
      <c r="B948"/>
      <c r="C948"/>
      <c r="D948"/>
    </row>
    <row r="949" spans="1:4" ht="18" x14ac:dyDescent="0.55000000000000004">
      <c r="A949"/>
      <c r="B949"/>
      <c r="C949"/>
      <c r="D949"/>
    </row>
    <row r="950" spans="1:4" ht="18" x14ac:dyDescent="0.55000000000000004">
      <c r="A950"/>
      <c r="B950"/>
      <c r="C950"/>
      <c r="D950"/>
    </row>
    <row r="951" spans="1:4" ht="18" x14ac:dyDescent="0.55000000000000004">
      <c r="A951"/>
      <c r="B951"/>
      <c r="C951"/>
      <c r="D951"/>
    </row>
    <row r="952" spans="1:4" ht="18" x14ac:dyDescent="0.55000000000000004">
      <c r="A952"/>
      <c r="B952"/>
      <c r="C952"/>
      <c r="D952"/>
    </row>
    <row r="953" spans="1:4" ht="18" x14ac:dyDescent="0.55000000000000004">
      <c r="A953"/>
      <c r="B953"/>
      <c r="C953"/>
      <c r="D953"/>
    </row>
  </sheetData>
  <phoneticPr fontId="1"/>
  <conditionalFormatting sqref="A2:A44">
    <cfRule type="expression" dxfId="1" priority="1" stopIfTrue="1">
      <formula>AND(A2&lt;&gt;"",ISNA(MATCH(A2,区分値リスト,0)))</formula>
    </cfRule>
  </conditionalFormatting>
  <conditionalFormatting sqref="B2:D44">
    <cfRule type="expression" dxfId="0" priority="2" stopIfTrue="1">
      <formula>AND($A2&lt;&gt;"",B2="")</formula>
    </cfRule>
  </conditionalFormatting>
  <dataValidations count="4">
    <dataValidation imeMode="on" allowBlank="1" showInputMessage="1" showErrorMessage="1" sqref="D1 A1:B1" xr:uid="{C5AAAFF2-DD94-4110-B09E-5AAB7B674F1C}"/>
    <dataValidation type="list" allowBlank="1" showInputMessage="1" showErrorMessage="1" sqref="A2:A44" xr:uid="{6023A3D2-5A66-44B7-90D4-13F3190857F7}">
      <formula1>区分値リスト</formula1>
    </dataValidation>
    <dataValidation imeMode="on" allowBlank="1" showInputMessage="1" showErrorMessage="1" sqref="C2:D44" xr:uid="{C122E006-E079-412B-AF5E-D0059CBE9DD1}"/>
    <dataValidation imeMode="off" allowBlank="1" showInputMessage="1" showErrorMessage="1" sqref="B2:B44" xr:uid="{6362F89E-9F44-45E0-A9AE-23298F0AADCE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1" sqref="F1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209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4" t="s">
        <v>118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214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105" priority="1" operator="equal">
      <formula>0</formula>
    </cfRule>
    <cfRule type="cellIs" dxfId="104" priority="2" operator="lessThan">
      <formula>0</formula>
    </cfRule>
    <cfRule type="cellIs" dxfId="103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D4" sqref="D4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164</v>
      </c>
      <c r="F2" t="s">
        <v>95</v>
      </c>
    </row>
    <row r="3" spans="1:6" x14ac:dyDescent="0.55000000000000004">
      <c r="B3" s="25" t="s">
        <v>76</v>
      </c>
      <c r="D3" t="s">
        <v>84</v>
      </c>
      <c r="F3" t="s">
        <v>125</v>
      </c>
    </row>
    <row r="4" spans="1:6" x14ac:dyDescent="0.55000000000000004">
      <c r="D4" t="s">
        <v>85</v>
      </c>
      <c r="F4" t="s">
        <v>193</v>
      </c>
    </row>
    <row r="5" spans="1:6" x14ac:dyDescent="0.55000000000000004">
      <c r="A5" t="s">
        <v>82</v>
      </c>
      <c r="B5" s="28" t="s">
        <v>84</v>
      </c>
      <c r="D5" t="s">
        <v>92</v>
      </c>
    </row>
    <row r="6" spans="1:6" x14ac:dyDescent="0.55000000000000004">
      <c r="A6" t="s">
        <v>81</v>
      </c>
      <c r="B6" s="28"/>
      <c r="D6" t="s">
        <v>95</v>
      </c>
    </row>
    <row r="7" spans="1:6" x14ac:dyDescent="0.55000000000000004">
      <c r="A7" t="s">
        <v>83</v>
      </c>
      <c r="B7" s="28" t="s">
        <v>84</v>
      </c>
      <c r="D7" t="s">
        <v>110</v>
      </c>
    </row>
    <row r="8" spans="1:6" x14ac:dyDescent="0.55000000000000004">
      <c r="D8" t="s">
        <v>114</v>
      </c>
    </row>
    <row r="9" spans="1:6" x14ac:dyDescent="0.55000000000000004">
      <c r="D9" t="s">
        <v>125</v>
      </c>
    </row>
    <row r="10" spans="1:6" x14ac:dyDescent="0.55000000000000004">
      <c r="D10" t="s">
        <v>126</v>
      </c>
    </row>
    <row r="11" spans="1:6" x14ac:dyDescent="0.55000000000000004">
      <c r="D11" t="s">
        <v>127</v>
      </c>
    </row>
    <row r="12" spans="1:6" x14ac:dyDescent="0.55000000000000004">
      <c r="D12" t="s">
        <v>165</v>
      </c>
    </row>
    <row r="13" spans="1:6" x14ac:dyDescent="0.55000000000000004">
      <c r="D13" t="s">
        <v>129</v>
      </c>
    </row>
    <row r="14" spans="1:6" x14ac:dyDescent="0.55000000000000004">
      <c r="D14" t="s">
        <v>131</v>
      </c>
    </row>
    <row r="15" spans="1:6" x14ac:dyDescent="0.55000000000000004">
      <c r="D15" t="s">
        <v>132</v>
      </c>
    </row>
    <row r="16" spans="1:6" x14ac:dyDescent="0.55000000000000004">
      <c r="D16" t="s">
        <v>206</v>
      </c>
    </row>
    <row r="17" spans="4:4" x14ac:dyDescent="0.55000000000000004">
      <c r="D17" t="s">
        <v>162</v>
      </c>
    </row>
    <row r="18" spans="4:4" x14ac:dyDescent="0.55000000000000004">
      <c r="D18" t="s">
        <v>207</v>
      </c>
    </row>
    <row r="19" spans="4:4" x14ac:dyDescent="0.55000000000000004">
      <c r="D19" t="s">
        <v>163</v>
      </c>
    </row>
    <row r="20" spans="4:4" x14ac:dyDescent="0.55000000000000004">
      <c r="D20" t="s">
        <v>166</v>
      </c>
    </row>
    <row r="21" spans="4:4" x14ac:dyDescent="0.55000000000000004">
      <c r="D21" t="s">
        <v>167</v>
      </c>
    </row>
    <row r="22" spans="4:4" x14ac:dyDescent="0.55000000000000004">
      <c r="D22" t="s">
        <v>188</v>
      </c>
    </row>
    <row r="23" spans="4:4" x14ac:dyDescent="0.55000000000000004">
      <c r="D23" t="s">
        <v>192</v>
      </c>
    </row>
    <row r="24" spans="4:4" x14ac:dyDescent="0.55000000000000004">
      <c r="D24" t="s">
        <v>193</v>
      </c>
    </row>
    <row r="25" spans="4:4" x14ac:dyDescent="0.55000000000000004">
      <c r="D25" t="s">
        <v>212</v>
      </c>
    </row>
    <row r="26" spans="4:4" x14ac:dyDescent="0.55000000000000004">
      <c r="D26" t="s">
        <v>213</v>
      </c>
    </row>
    <row r="27" spans="4:4" x14ac:dyDescent="0.55000000000000004">
      <c r="D27" t="s">
        <v>221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2024-02-08T01:33:44Z</dcterms:modified>
</cp:coreProperties>
</file>