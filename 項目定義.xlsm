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8F87B71B-E979-4807-9F9F-22C5A0B2E839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5" i="3" l="1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C25" i="3"/>
  <c r="C33" i="3"/>
  <c r="C41" i="3"/>
  <c r="C49" i="3"/>
  <c r="C26" i="3"/>
  <c r="C34" i="3"/>
  <c r="C42" i="3"/>
  <c r="C50" i="3"/>
  <c r="C27" i="3"/>
  <c r="C35" i="3"/>
  <c r="C43" i="3"/>
  <c r="C51" i="3"/>
  <c r="C28" i="3"/>
  <c r="C36" i="3"/>
  <c r="C44" i="3"/>
  <c r="C52" i="3"/>
  <c r="C29" i="3"/>
  <c r="C37" i="3"/>
  <c r="C45" i="3"/>
  <c r="C53" i="3"/>
  <c r="C30" i="3"/>
  <c r="C38" i="3"/>
  <c r="C46" i="3"/>
  <c r="C54" i="3"/>
  <c r="C31" i="3"/>
  <c r="C39" i="3"/>
  <c r="C47" i="3"/>
  <c r="C32" i="3"/>
  <c r="C40" i="3"/>
  <c r="C48" i="3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D10" i="5"/>
  <c r="D18" i="5"/>
  <c r="D26" i="5"/>
  <c r="D34" i="5"/>
  <c r="D11" i="5"/>
  <c r="D19" i="5"/>
  <c r="D27" i="5"/>
  <c r="D35" i="5"/>
  <c r="D12" i="5"/>
  <c r="D20" i="5"/>
  <c r="D28" i="5"/>
  <c r="D13" i="5"/>
  <c r="D21" i="5"/>
  <c r="D29" i="5"/>
  <c r="D2" i="5"/>
  <c r="D3" i="5"/>
  <c r="D4" i="5"/>
  <c r="D5" i="5"/>
  <c r="C2" i="3"/>
  <c r="C10" i="3"/>
  <c r="C18" i="3"/>
  <c r="C3" i="3"/>
  <c r="C11" i="3"/>
  <c r="C19" i="3"/>
  <c r="C4" i="3"/>
  <c r="C12" i="3"/>
  <c r="C20" i="3"/>
  <c r="C13" i="3"/>
  <c r="C21" i="3"/>
  <c r="C17" i="3"/>
  <c r="C5" i="3"/>
  <c r="C6" i="3"/>
  <c r="C14" i="3"/>
  <c r="C22" i="3"/>
  <c r="C15" i="3"/>
  <c r="C23" i="3"/>
  <c r="C7" i="3"/>
  <c r="C8" i="3"/>
  <c r="C16" i="3"/>
  <c r="C24" i="3"/>
  <c r="C9" i="3"/>
</calcChain>
</file>

<file path=xl/sharedStrings.xml><?xml version="1.0" encoding="utf-8"?>
<sst xmlns="http://schemas.openxmlformats.org/spreadsheetml/2006/main" count="360" uniqueCount="225">
  <si>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</si>
  <si>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</si>
  <si>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</si>
  <si>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</si>
  <si>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</si>
  <si>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</si>
  <si>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</si>
  <si>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</si>
  <si>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</si>
  <si>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</si>
  <si>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</si>
  <si>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</si>
  <si>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</si>
  <si>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</si>
  <si>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</si>
  <si>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</si>
  <si>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</si>
  <si>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</si>
  <si>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</si>
  <si>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</si>
  <si>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</si>
  <si>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</si>
  <si>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</si>
  <si>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</si>
  <si>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</si>
  <si>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</si>
  <si>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</si>
  <si>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</si>
  <si>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</si>
  <si>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</si>
  <si>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</si>
  <si>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</si>
  <si>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</si>
  <si>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</si>
  <si>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</si>
  <si>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</si>
  <si>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</si>
  <si>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</si>
  <si>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</si>
  <si>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</si>
  <si>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</si>
  <si>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</si>
  <si>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</si>
  <si>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</si>
  <si>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</si>
  <si>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</si>
  <si>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</si>
  <si>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</si>
  <si>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</si>
  <si>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</si>
  <si>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</si>
  <si>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</si>
  <si>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</si>
  <si>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</si>
  <si>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</si>
  <si>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</si>
  <si>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</si>
  <si>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</si>
  <si>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</si>
  <si>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</si>
  <si>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</si>
  <si>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</si>
  <si>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</si>
  <si>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</si>
  <si>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</si>
  <si>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</si>
  <si>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</si>
  <si>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</si>
  <si>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</si>
  <si>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</si>
  <si>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</si>
  <si>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</si>
  <si>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</si>
  <si>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</si>
  <si>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</si>
  <si>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</si>
  <si>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</si>
  <si>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</si>
  <si>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</si>
  <si>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</si>
  <si>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</si>
  <si>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</si>
  <si>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</si>
  <si>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</si>
  <si>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</si>
  <si>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</si>
  <si>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</si>
  <si>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</si>
  <si>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</si>
  <si>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</si>
  <si>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</si>
  <si>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</si>
  <si>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</si>
  <si>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</si>
  <si>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</si>
  <si>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</si>
  <si>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</si>
  <si>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</si>
  <si>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</si>
  <si>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</si>
  <si>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</si>
  <si>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</si>
  <si>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</si>
  <si>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</si>
  <si>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</si>
  <si>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</si>
  <si>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</si>
  <si>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</si>
  <si>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</si>
  <si>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</si>
  <si>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</si>
  <si>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</si>
  <si>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</si>
  <si>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</si>
  <si>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</si>
  <si>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</si>
  <si>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</si>
  <si>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</si>
  <si>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</si>
  <si>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</si>
  <si>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</si>
  <si>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</si>
  <si>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</si>
  <si>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</si>
  <si>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</si>
  <si>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</si>
  <si>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</si>
  <si>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</si>
  <si>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</si>
  <si>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</si>
  <si>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</si>
  <si>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</si>
  <si>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</si>
  <si>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</si>
  <si>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</si>
  <si>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</si>
  <si>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</si>
  <si>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</si>
  <si>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</si>
  <si>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</si>
  <si>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</si>
  <si>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</si>
  <si>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</si>
  <si>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</si>
  <si>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</si>
  <si>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</si>
  <si>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</si>
  <si>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</si>
  <si>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</si>
  <si>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</si>
  <si>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</si>
  <si>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</si>
  <si>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</si>
  <si>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</si>
  <si>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</si>
  <si>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</si>
  <si>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</si>
  <si>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</si>
  <si>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</si>
  <si>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</si>
  <si>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</si>
  <si>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</si>
  <si>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</si>
  <si>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</si>
  <si>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</si>
  <si>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</si>
  <si>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</si>
  <si>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</si>
  <si>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</si>
  <si>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</si>
  <si>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</si>
  <si>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</si>
  <si>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</si>
  <si>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</si>
  <si>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</si>
  <si>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</si>
  <si>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</si>
  <si>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</si>
  <si>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</si>
  <si>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</si>
  <si>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</si>
  <si>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</si>
  <si>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</si>
  <si>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</si>
  <si>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</si>
  <si>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</si>
  <si>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</si>
  <si>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</si>
  <si>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</si>
  <si>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</si>
  <si>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</si>
  <si>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</si>
  <si>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</si>
  <si>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</si>
  <si>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</si>
  <si>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</si>
  <si>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</si>
  <si>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</si>
  <si>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</si>
  <si>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</si>
  <si>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14:00</t>
  </si>
  <si>
    <t>出荷時間</t>
  </si>
  <si>
    <t>shippingTime</t>
  </si>
  <si>
    <t>取引有無</t>
  </si>
  <si>
    <t>取引先区分</t>
  </si>
  <si>
    <t>registrationDate</t>
  </si>
  <si>
    <t>isActiveCustomer</t>
  </si>
  <si>
    <t>customerType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</si>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</sst>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8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2" fillId="6" borderId="15" xfId="0" applyFont="1" applyFill="1" applyBorder="1">
      <alignment vertical="center"/>
    </xf>
    <xf numFmtId="49" fontId="2" fillId="0" borderId="15" xfId="0" applyNumberFormat="1" applyFont="1" applyFill="1" applyBorder="1">
      <alignment vertical="center"/>
    </xf>
    <xf numFmtId="178" fontId="2" fillId="5" borderId="15" xfId="0" applyNumberFormat="1" applyFont="1" applyFill="1" applyBorder="1">
      <alignment vertical="center"/>
    </xf>
  </cellXfs>
  <cellStyles count="1">
    <cellStyle name="標準" xfId="0" builtinId="0"/>
  </cellStyles>
  <dxfs count="26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1757"/>
  <sheetViews>
    <sheetView showGridLines="0" tabSelected="1" zoomScaleNormal="100" workbookViewId="0">
      <pane ySplit="1" topLeftCell="A2" activePane="bottomLeft" state="frozen"/>
      <selection activeCell="E5" sqref="E5"/>
      <selection pane="bottomLeft"/>
    </sheetView>
  </sheetViews>
  <sheetFormatPr defaultRowHeight="13" x14ac:dyDescent="0.55000000000000004"/>
  <cols>
    <col min="1" max="2" width="8.6640625" style="23"/>
    <col min="3" max="3" width="12" style="23" customWidth="1"/>
    <col min="4" max="9" width="8.6640625" style="23"/>
    <col min="10" max="10" width="11.6640625" style="23" customWidth="1"/>
    <col min="11" max="11" width="19.58203125" style="23" customWidth="1"/>
    <col min="12" max="16384" width="8.6640625" style="23"/>
  </cols>
  <sheetData>
    <row r="1" spans="1:15" ht="26" x14ac:dyDescent="0.55000000000000004">
      <c r="A1" s="34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7" t="s">
        <v>4</v>
      </c>
      <c r="I1" s="37" t="s">
        <v>5</v>
      </c>
      <c r="J1" s="19" t="s">
        <v>72</v>
      </c>
      <c r="K1" s="20" t="s">
        <v>6</v>
      </c>
      <c r="L1" s="19" t="s">
        <v>61</v>
      </c>
      <c r="M1" s="19" t="s">
        <v>61</v>
      </c>
      <c r="N1" s="21" t="s">
        <v>121</v>
      </c>
      <c r="O1" s="22" t="s">
        <v>73</v>
      </c>
    </row>
    <row r="2" spans="1:15" ht="15" x14ac:dyDescent="0.55000000000000004">
      <c r="A2" s="38" t="s">
        <v>170</v>
      </c>
      <c r="B2" s="38" t="s">
        <v>174</v>
      </c>
      <c r="C2" s="26" t="str">
        <f t="shared" ref="C2:C33" si="0">camel2snake(B2)</f>
        <v>product_no</v>
      </c>
      <c r="D2" s="38" t="s">
        <v>220</v>
      </c>
      <c r="E2" s="33"/>
      <c r="F2" s="42">
        <v>9</v>
      </c>
      <c r="G2" s="42">
        <v>10</v>
      </c>
      <c r="H2" s="33"/>
      <c r="I2" s="33"/>
      <c r="J2" s="40" t="s">
        <v>88</v>
      </c>
      <c r="K2" s="38" t="s">
        <v>109</v>
      </c>
      <c r="L2" s="26" t="str">
        <f>IFERROR(VLOOKUP(D2,ドメインタイプDATA,6,FALSE)&amp;"","")</f>
        <v>string</v>
      </c>
      <c r="M2" s="26" t="str">
        <f>IFERROR(VLOOKUP(D2,ドメインタイプDATA,7,FALSE)&amp;"","")</f>
        <v/>
      </c>
      <c r="N2" s="32">
        <f ca="1">COUNTIF(派生元項目KEY,A2)</f>
        <v>0</v>
      </c>
      <c r="O2" s="32">
        <f ca="1">COUNTIF(区分値項目KEY,A2)</f>
        <v>0</v>
      </c>
    </row>
    <row r="3" spans="1:15" ht="15" x14ac:dyDescent="0.55000000000000004">
      <c r="A3" s="38" t="s">
        <v>84</v>
      </c>
      <c r="B3" s="38" t="s">
        <v>86</v>
      </c>
      <c r="C3" s="26" t="str">
        <f t="shared" si="0"/>
        <v>price</v>
      </c>
      <c r="D3" s="38" t="s">
        <v>89</v>
      </c>
      <c r="E3" s="33"/>
      <c r="F3" s="33"/>
      <c r="G3" s="33"/>
      <c r="H3" s="42">
        <v>0</v>
      </c>
      <c r="I3" s="42">
        <v>99999</v>
      </c>
      <c r="J3" s="40" t="s">
        <v>92</v>
      </c>
      <c r="K3" s="38" t="s">
        <v>110</v>
      </c>
      <c r="L3" s="26" t="str">
        <f>IFERROR(VLOOKUP(D3,ドメインタイプDATA,6,FALSE)&amp;"","")</f>
        <v>integer</v>
      </c>
      <c r="M3" s="26" t="str">
        <f>IFERROR(VLOOKUP(D3,ドメインタイプDATA,7,FALSE)&amp;"","")</f>
        <v/>
      </c>
      <c r="N3" s="32">
        <f ca="1">COUNTIF(派生元項目KEY,A3)</f>
        <v>1</v>
      </c>
      <c r="O3" s="32">
        <f ca="1">COUNTIF(区分値項目KEY,A3)</f>
        <v>0</v>
      </c>
    </row>
    <row r="4" spans="1:15" ht="15" x14ac:dyDescent="0.55000000000000004">
      <c r="A4" s="38" t="s">
        <v>85</v>
      </c>
      <c r="B4" s="38" t="s">
        <v>87</v>
      </c>
      <c r="C4" s="26" t="str">
        <f t="shared" si="0"/>
        <v>up</v>
      </c>
      <c r="D4" s="38" t="s">
        <v>91</v>
      </c>
      <c r="E4" s="33"/>
      <c r="F4" s="33"/>
      <c r="G4" s="33"/>
      <c r="H4" s="42">
        <v>0</v>
      </c>
      <c r="I4" s="42">
        <v>1000</v>
      </c>
      <c r="J4" s="40" t="s">
        <v>93</v>
      </c>
      <c r="K4" s="38" t="s">
        <v>111</v>
      </c>
      <c r="L4" s="26" t="str">
        <f>IFERROR(VLOOKUP(D4,ドメインタイプDATA,6,FALSE)&amp;"","")</f>
        <v>number</v>
      </c>
      <c r="M4" s="26" t="str">
        <f>IFERROR(VLOOKUP(D4,ドメインタイプDATA,7,FALSE)&amp;"","")</f>
        <v/>
      </c>
      <c r="N4" s="32">
        <f ca="1">COUNTIF(派生元項目KEY,A4)</f>
        <v>0</v>
      </c>
      <c r="O4" s="32">
        <f ca="1">COUNTIF(区分値項目KEY,A4)</f>
        <v>0</v>
      </c>
    </row>
    <row r="5" spans="1:15" ht="15" x14ac:dyDescent="0.55000000000000004">
      <c r="A5" s="38" t="s">
        <v>94</v>
      </c>
      <c r="B5" s="38" t="s">
        <v>205</v>
      </c>
      <c r="C5" s="26" t="str">
        <f t="shared" si="0"/>
        <v>registration_date</v>
      </c>
      <c r="D5" s="38" t="s">
        <v>90</v>
      </c>
      <c r="E5" s="33"/>
      <c r="F5" s="33"/>
      <c r="G5" s="33"/>
      <c r="H5" s="33"/>
      <c r="I5" s="33"/>
      <c r="J5" s="40" t="s">
        <v>95</v>
      </c>
      <c r="K5" s="38" t="s">
        <v>94</v>
      </c>
      <c r="L5" s="26" t="str">
        <f>IFERROR(VLOOKUP(D5,ドメインタイプDATA,6,FALSE)&amp;"","")</f>
        <v>string</v>
      </c>
      <c r="M5" s="26" t="str">
        <f>IFERROR(VLOOKUP(D5,ドメインタイプDATA,7,FALSE)&amp;"","")</f>
        <v>date</v>
      </c>
      <c r="N5" s="32">
        <f ca="1">COUNTIF(派生元項目KEY,A5)</f>
        <v>0</v>
      </c>
      <c r="O5" s="32">
        <f ca="1">COUNTIF(区分値項目KEY,A5)</f>
        <v>0</v>
      </c>
    </row>
    <row r="6" spans="1:15" ht="15" x14ac:dyDescent="0.55000000000000004">
      <c r="A6" s="38" t="s">
        <v>98</v>
      </c>
      <c r="B6" s="38" t="s">
        <v>99</v>
      </c>
      <c r="C6" s="26" t="str">
        <f t="shared" si="0"/>
        <v>product_kbn</v>
      </c>
      <c r="D6" s="38" t="s">
        <v>222</v>
      </c>
      <c r="E6" s="33"/>
      <c r="F6" s="33"/>
      <c r="G6" s="33"/>
      <c r="H6" s="33"/>
      <c r="I6" s="33"/>
      <c r="J6" s="40" t="s">
        <v>128</v>
      </c>
      <c r="K6" s="38" t="s">
        <v>100</v>
      </c>
      <c r="L6" s="26" t="str">
        <f>IFERROR(VLOOKUP(D6,ドメインタイプDATA,6,FALSE)&amp;"","")</f>
        <v>string</v>
      </c>
      <c r="M6" s="26" t="str">
        <f>IFERROR(VLOOKUP(D6,ドメインタイプDATA,7,FALSE)&amp;"","")</f>
        <v/>
      </c>
      <c r="N6" s="32">
        <f ca="1">COUNTIF(派生元項目KEY,A6)</f>
        <v>0</v>
      </c>
      <c r="O6" s="32">
        <f ca="1">COUNTIF(区分値項目KEY,A6)</f>
        <v>4</v>
      </c>
    </row>
    <row r="7" spans="1:15" ht="15" x14ac:dyDescent="0.55000000000000004">
      <c r="A7" s="38" t="s">
        <v>113</v>
      </c>
      <c r="B7" s="38" t="s">
        <v>115</v>
      </c>
      <c r="C7" s="26" t="str">
        <f t="shared" si="0"/>
        <v>comment</v>
      </c>
      <c r="D7" s="38" t="s">
        <v>114</v>
      </c>
      <c r="E7" s="40"/>
      <c r="F7" s="42">
        <v>10</v>
      </c>
      <c r="G7" s="33"/>
      <c r="H7" s="33"/>
      <c r="I7" s="33"/>
      <c r="J7" s="40" t="s">
        <v>116</v>
      </c>
      <c r="K7" s="38" t="s">
        <v>113</v>
      </c>
      <c r="L7" s="26" t="str">
        <f>IFERROR(VLOOKUP(D7,ドメインタイプDATA,6,FALSE)&amp;"","")</f>
        <v>string</v>
      </c>
      <c r="M7" s="26" t="str">
        <f>IFERROR(VLOOKUP(D7,ドメインタイプDATA,7,FALSE)&amp;"","")</f>
        <v/>
      </c>
      <c r="N7" s="32">
        <f ca="1">COUNTIF(派生元項目KEY,A7)</f>
        <v>0</v>
      </c>
      <c r="O7" s="32">
        <f ca="1">COUNTIF(区分値項目KEY,A7)</f>
        <v>0</v>
      </c>
    </row>
    <row r="8" spans="1:15" ht="15" x14ac:dyDescent="0.55000000000000004">
      <c r="A8" s="38" t="s">
        <v>117</v>
      </c>
      <c r="B8" s="38" t="s">
        <v>123</v>
      </c>
      <c r="C8" s="26" t="str">
        <f t="shared" si="0"/>
        <v>can_update</v>
      </c>
      <c r="D8" s="38" t="s">
        <v>118</v>
      </c>
      <c r="E8" s="33"/>
      <c r="F8" s="33"/>
      <c r="G8" s="33"/>
      <c r="H8" s="33"/>
      <c r="I8" s="33"/>
      <c r="J8" s="40" t="s">
        <v>119</v>
      </c>
      <c r="K8" s="38" t="s">
        <v>120</v>
      </c>
      <c r="L8" s="26" t="str">
        <f>IFERROR(VLOOKUP(D8,ドメインタイプDATA,6,FALSE)&amp;"","")</f>
        <v>boolean</v>
      </c>
      <c r="M8" s="26" t="str">
        <f>IFERROR(VLOOKUP(D8,ドメインタイプDATA,7,FALSE)&amp;"","")</f>
        <v/>
      </c>
      <c r="N8" s="32">
        <f ca="1">COUNTIF(派生元項目KEY,A8)</f>
        <v>0</v>
      </c>
      <c r="O8" s="32">
        <f ca="1">COUNTIF(区分値項目KEY,A8)</f>
        <v>0</v>
      </c>
    </row>
    <row r="9" spans="1:15" ht="15" x14ac:dyDescent="0.55000000000000004">
      <c r="A9" s="38" t="s">
        <v>129</v>
      </c>
      <c r="B9" s="38" t="s">
        <v>194</v>
      </c>
      <c r="C9" s="26" t="str">
        <f t="shared" si="0"/>
        <v>department</v>
      </c>
      <c r="D9" s="38" t="s">
        <v>222</v>
      </c>
      <c r="E9" s="33"/>
      <c r="F9" s="33"/>
      <c r="G9" s="33"/>
      <c r="H9" s="33"/>
      <c r="I9" s="33"/>
      <c r="J9" s="40" t="s">
        <v>156</v>
      </c>
      <c r="K9" s="38" t="s">
        <v>129</v>
      </c>
      <c r="L9" s="26" t="str">
        <f>IFERROR(VLOOKUP(D9,ドメインタイプDATA,6,FALSE)&amp;"","")</f>
        <v>string</v>
      </c>
      <c r="M9" s="26" t="str">
        <f>IFERROR(VLOOKUP(D9,ドメインタイプDATA,7,FALSE)&amp;"","")</f>
        <v/>
      </c>
      <c r="N9" s="32">
        <f ca="1">COUNTIF(派生元項目KEY,A9)</f>
        <v>1</v>
      </c>
      <c r="O9" s="32">
        <f ca="1">COUNTIF(区分値項目KEY,A9)</f>
        <v>5</v>
      </c>
    </row>
    <row r="10" spans="1:15" ht="15" x14ac:dyDescent="0.55000000000000004">
      <c r="A10" s="38" t="s">
        <v>130</v>
      </c>
      <c r="B10" s="38" t="s">
        <v>137</v>
      </c>
      <c r="C10" s="26" t="str">
        <f t="shared" si="0"/>
        <v>order_date</v>
      </c>
      <c r="D10" s="38" t="s">
        <v>90</v>
      </c>
      <c r="E10" s="33"/>
      <c r="F10" s="33"/>
      <c r="G10" s="33"/>
      <c r="H10" s="33"/>
      <c r="I10" s="33"/>
      <c r="J10" s="40" t="s">
        <v>95</v>
      </c>
      <c r="K10" s="38" t="s">
        <v>130</v>
      </c>
      <c r="L10" s="26" t="str">
        <f>IFERROR(VLOOKUP(D10,ドメインタイプDATA,6,FALSE)&amp;"","")</f>
        <v>string</v>
      </c>
      <c r="M10" s="26" t="str">
        <f>IFERROR(VLOOKUP(D10,ドメインタイプDATA,7,FALSE)&amp;"","")</f>
        <v>date</v>
      </c>
      <c r="N10" s="32">
        <f ca="1">COUNTIF(派生元項目KEY,A10)</f>
        <v>0</v>
      </c>
      <c r="O10" s="32">
        <f ca="1">COUNTIF(区分値項目KEY,A10)</f>
        <v>0</v>
      </c>
    </row>
    <row r="11" spans="1:15" ht="15" x14ac:dyDescent="0.55000000000000004">
      <c r="A11" s="38" t="s">
        <v>131</v>
      </c>
      <c r="B11" s="38" t="s">
        <v>138</v>
      </c>
      <c r="C11" s="26" t="str">
        <f t="shared" si="0"/>
        <v>quantity</v>
      </c>
      <c r="D11" s="38" t="s">
        <v>89</v>
      </c>
      <c r="E11" s="33"/>
      <c r="F11" s="33"/>
      <c r="G11" s="33"/>
      <c r="H11" s="42">
        <v>0</v>
      </c>
      <c r="I11" s="42">
        <v>99999</v>
      </c>
      <c r="J11" s="40" t="s">
        <v>141</v>
      </c>
      <c r="K11" s="38" t="s">
        <v>131</v>
      </c>
      <c r="L11" s="26" t="str">
        <f>IFERROR(VLOOKUP(D11,ドメインタイプDATA,6,FALSE)&amp;"","")</f>
        <v>integer</v>
      </c>
      <c r="M11" s="26" t="str">
        <f>IFERROR(VLOOKUP(D11,ドメインタイプDATA,7,FALSE)&amp;"","")</f>
        <v/>
      </c>
      <c r="N11" s="32">
        <f ca="1">COUNTIF(派生元項目KEY,A11)</f>
        <v>0</v>
      </c>
      <c r="O11" s="32">
        <f ca="1">COUNTIF(区分値項目KEY,A11)</f>
        <v>0</v>
      </c>
    </row>
    <row r="12" spans="1:15" ht="15" x14ac:dyDescent="0.55000000000000004">
      <c r="A12" s="38" t="s">
        <v>171</v>
      </c>
      <c r="B12" s="38" t="s">
        <v>175</v>
      </c>
      <c r="C12" s="26" t="str">
        <f t="shared" si="0"/>
        <v>received_order_no</v>
      </c>
      <c r="D12" s="38" t="s">
        <v>220</v>
      </c>
      <c r="E12" s="33"/>
      <c r="F12" s="42">
        <v>10</v>
      </c>
      <c r="G12" s="42">
        <v>10</v>
      </c>
      <c r="H12" s="33"/>
      <c r="I12" s="33"/>
      <c r="J12" s="40" t="s">
        <v>142</v>
      </c>
      <c r="K12" s="38" t="s">
        <v>132</v>
      </c>
      <c r="L12" s="26" t="str">
        <f>IFERROR(VLOOKUP(D12,ドメインタイプDATA,6,FALSE)&amp;"","")</f>
        <v>string</v>
      </c>
      <c r="M12" s="26" t="str">
        <f>IFERROR(VLOOKUP(D12,ドメインタイプDATA,7,FALSE)&amp;"","")</f>
        <v/>
      </c>
      <c r="N12" s="32">
        <f ca="1">COUNTIF(派生元項目KEY,A12)</f>
        <v>0</v>
      </c>
      <c r="O12" s="32">
        <f ca="1">COUNTIF(区分値項目KEY,A12)</f>
        <v>0</v>
      </c>
    </row>
    <row r="13" spans="1:15" ht="15" x14ac:dyDescent="0.55000000000000004">
      <c r="A13" s="38" t="s">
        <v>133</v>
      </c>
      <c r="B13" s="38" t="s">
        <v>139</v>
      </c>
      <c r="C13" s="26" t="str">
        <f t="shared" si="0"/>
        <v>order_detail_no</v>
      </c>
      <c r="D13" s="38" t="s">
        <v>134</v>
      </c>
      <c r="E13" s="33"/>
      <c r="F13" s="33"/>
      <c r="G13" s="33"/>
      <c r="H13" s="33"/>
      <c r="I13" s="33"/>
      <c r="J13" s="40" t="s">
        <v>143</v>
      </c>
      <c r="K13" s="38" t="s">
        <v>183</v>
      </c>
      <c r="L13" s="26" t="str">
        <f>IFERROR(VLOOKUP(D13,ドメインタイプDATA,6,FALSE)&amp;"","")</f>
        <v>integer</v>
      </c>
      <c r="M13" s="26" t="str">
        <f>IFERROR(VLOOKUP(D13,ドメインタイプDATA,7,FALSE)&amp;"","")</f>
        <v/>
      </c>
      <c r="N13" s="32">
        <f ca="1">COUNTIF(派生元項目KEY,A13)</f>
        <v>0</v>
      </c>
      <c r="O13" s="32">
        <f ca="1">COUNTIF(区分値項目KEY,A13)</f>
        <v>0</v>
      </c>
    </row>
    <row r="14" spans="1:15" ht="15" x14ac:dyDescent="0.55000000000000004">
      <c r="A14" s="38" t="s">
        <v>135</v>
      </c>
      <c r="B14" s="38" t="s">
        <v>176</v>
      </c>
      <c r="C14" s="26" t="str">
        <f t="shared" si="0"/>
        <v>person_in_charge</v>
      </c>
      <c r="D14" s="38" t="s">
        <v>144</v>
      </c>
      <c r="E14" s="40"/>
      <c r="F14" s="42"/>
      <c r="G14" s="42">
        <v>30</v>
      </c>
      <c r="H14" s="33"/>
      <c r="I14" s="33"/>
      <c r="J14" s="40" t="s">
        <v>145</v>
      </c>
      <c r="K14" s="38" t="s">
        <v>146</v>
      </c>
      <c r="L14" s="26" t="str">
        <f>IFERROR(VLOOKUP(D14,ドメインタイプDATA,6,FALSE)&amp;"","")</f>
        <v>string</v>
      </c>
      <c r="M14" s="26" t="str">
        <f>IFERROR(VLOOKUP(D14,ドメインタイプDATA,7,FALSE)&amp;"","")</f>
        <v/>
      </c>
      <c r="N14" s="32">
        <f ca="1">COUNTIF(派生元項目KEY,A14)</f>
        <v>0</v>
      </c>
      <c r="O14" s="32">
        <f ca="1">COUNTIF(区分値項目KEY,A14)</f>
        <v>0</v>
      </c>
    </row>
    <row r="15" spans="1:15" ht="15" x14ac:dyDescent="0.55000000000000004">
      <c r="A15" s="38" t="s">
        <v>136</v>
      </c>
      <c r="B15" s="38" t="s">
        <v>140</v>
      </c>
      <c r="C15" s="26" t="str">
        <f t="shared" si="0"/>
        <v>user_id</v>
      </c>
      <c r="D15" s="38" t="s">
        <v>220</v>
      </c>
      <c r="E15" s="33"/>
      <c r="F15" s="42">
        <v>4</v>
      </c>
      <c r="G15" s="42">
        <v>4</v>
      </c>
      <c r="H15" s="33"/>
      <c r="I15" s="33"/>
      <c r="J15" s="40" t="s">
        <v>223</v>
      </c>
      <c r="K15" s="38" t="s">
        <v>147</v>
      </c>
      <c r="L15" s="26" t="str">
        <f>IFERROR(VLOOKUP(D15,ドメインタイプDATA,6,FALSE)&amp;"","")</f>
        <v>string</v>
      </c>
      <c r="M15" s="26" t="str">
        <f>IFERROR(VLOOKUP(D15,ドメインタイプDATA,7,FALSE)&amp;"","")</f>
        <v/>
      </c>
      <c r="N15" s="32">
        <f ca="1">COUNTIF(派生元項目KEY,A15)</f>
        <v>2</v>
      </c>
      <c r="O15" s="32">
        <f ca="1">COUNTIF(区分値項目KEY,A15)</f>
        <v>0</v>
      </c>
    </row>
    <row r="16" spans="1:15" ht="15" x14ac:dyDescent="0.55000000000000004">
      <c r="A16" s="38" t="s">
        <v>218</v>
      </c>
      <c r="B16" s="38" t="s">
        <v>177</v>
      </c>
      <c r="C16" s="26" t="str">
        <f t="shared" si="0"/>
        <v>product_name</v>
      </c>
      <c r="D16" s="38" t="s">
        <v>144</v>
      </c>
      <c r="E16" s="40"/>
      <c r="F16" s="42"/>
      <c r="G16" s="42">
        <v>100</v>
      </c>
      <c r="H16" s="33"/>
      <c r="I16" s="33"/>
      <c r="J16" s="40" t="s">
        <v>184</v>
      </c>
      <c r="K16" s="38" t="s">
        <v>185</v>
      </c>
      <c r="L16" s="26" t="str">
        <f>IFERROR(VLOOKUP(D16,ドメインタイプDATA,6,FALSE)&amp;"","")</f>
        <v>string</v>
      </c>
      <c r="M16" s="26" t="str">
        <f>IFERROR(VLOOKUP(D16,ドメインタイプDATA,7,FALSE)&amp;"","")</f>
        <v/>
      </c>
      <c r="N16" s="32">
        <f ca="1">COUNTIF(派生元項目KEY,A16)</f>
        <v>0</v>
      </c>
      <c r="O16" s="32">
        <f ca="1">COUNTIF(区分値項目KEY,A16)</f>
        <v>0</v>
      </c>
    </row>
    <row r="17" spans="1:15" ht="15" x14ac:dyDescent="0.55000000000000004">
      <c r="A17" s="38" t="s">
        <v>168</v>
      </c>
      <c r="B17" s="38" t="s">
        <v>178</v>
      </c>
      <c r="C17" s="26" t="str">
        <f t="shared" si="0"/>
        <v>customer_id</v>
      </c>
      <c r="D17" s="38" t="s">
        <v>220</v>
      </c>
      <c r="E17" s="33"/>
      <c r="F17" s="42">
        <v>3</v>
      </c>
      <c r="G17" s="42">
        <v>3</v>
      </c>
      <c r="H17" s="33"/>
      <c r="I17" s="33"/>
      <c r="J17" s="40" t="s">
        <v>186</v>
      </c>
      <c r="K17" s="38" t="s">
        <v>187</v>
      </c>
      <c r="L17" s="26" t="str">
        <f>IFERROR(VLOOKUP(D17,ドメインタイプDATA,6,FALSE)&amp;"","")</f>
        <v>string</v>
      </c>
      <c r="M17" s="26" t="str">
        <f>IFERROR(VLOOKUP(D17,ドメインタイプDATA,7,FALSE)&amp;"","")</f>
        <v/>
      </c>
      <c r="N17" s="32">
        <f ca="1">COUNTIF(派生元項目KEY,A17)</f>
        <v>0</v>
      </c>
      <c r="O17" s="32">
        <f ca="1">COUNTIF(区分値項目KEY,A17)</f>
        <v>0</v>
      </c>
    </row>
    <row r="18" spans="1:15" ht="15" x14ac:dyDescent="0.55000000000000004">
      <c r="A18" s="38" t="s">
        <v>219</v>
      </c>
      <c r="B18" s="38" t="s">
        <v>179</v>
      </c>
      <c r="C18" s="26" t="str">
        <f t="shared" si="0"/>
        <v>customer_name</v>
      </c>
      <c r="D18" s="38" t="s">
        <v>144</v>
      </c>
      <c r="E18" s="40"/>
      <c r="F18" s="42"/>
      <c r="G18" s="42">
        <v>100</v>
      </c>
      <c r="H18" s="33"/>
      <c r="I18" s="33"/>
      <c r="J18" s="40" t="s">
        <v>188</v>
      </c>
      <c r="K18" s="38" t="s">
        <v>189</v>
      </c>
      <c r="L18" s="26" t="str">
        <f>IFERROR(VLOOKUP(D18,ドメインタイプDATA,6,FALSE)&amp;"","")</f>
        <v>string</v>
      </c>
      <c r="M18" s="26" t="str">
        <f>IFERROR(VLOOKUP(D18,ドメインタイプDATA,7,FALSE)&amp;"","")</f>
        <v/>
      </c>
      <c r="N18" s="32">
        <f ca="1">COUNTIF(派生元項目KEY,A18)</f>
        <v>0</v>
      </c>
      <c r="O18" s="32">
        <f ca="1">COUNTIF(区分値項目KEY,A18)</f>
        <v>0</v>
      </c>
    </row>
    <row r="19" spans="1:15" ht="15" x14ac:dyDescent="0.55000000000000004">
      <c r="A19" s="38" t="s">
        <v>169</v>
      </c>
      <c r="B19" s="38" t="s">
        <v>180</v>
      </c>
      <c r="C19" s="26" t="str">
        <f t="shared" si="0"/>
        <v>is_working</v>
      </c>
      <c r="D19" s="38" t="s">
        <v>118</v>
      </c>
      <c r="E19" s="33"/>
      <c r="F19" s="33"/>
      <c r="G19" s="33"/>
      <c r="H19" s="33"/>
      <c r="I19" s="33"/>
      <c r="J19" s="40" t="s">
        <v>190</v>
      </c>
      <c r="K19" s="38" t="s">
        <v>191</v>
      </c>
      <c r="L19" s="26" t="str">
        <f>IFERROR(VLOOKUP(D19,ドメインタイプDATA,6,FALSE)&amp;"","")</f>
        <v>boolean</v>
      </c>
      <c r="M19" s="26" t="str">
        <f>IFERROR(VLOOKUP(D19,ドメインタイプDATA,7,FALSE)&amp;"","")</f>
        <v/>
      </c>
      <c r="N19" s="32">
        <f ca="1">COUNTIF(派生元項目KEY,A19)</f>
        <v>0</v>
      </c>
      <c r="O19" s="32">
        <f ca="1">COUNTIF(区分値項目KEY,A19)</f>
        <v>0</v>
      </c>
    </row>
    <row r="20" spans="1:15" ht="15" x14ac:dyDescent="0.55000000000000004">
      <c r="A20" s="38" t="s">
        <v>172</v>
      </c>
      <c r="B20" s="38" t="s">
        <v>181</v>
      </c>
      <c r="C20" s="26" t="str">
        <f t="shared" si="0"/>
        <v>profit_rate</v>
      </c>
      <c r="D20" s="38" t="s">
        <v>91</v>
      </c>
      <c r="E20" s="33"/>
      <c r="F20" s="33"/>
      <c r="G20" s="33"/>
      <c r="H20" s="42">
        <v>-10</v>
      </c>
      <c r="I20" s="42">
        <v>10</v>
      </c>
      <c r="J20" s="40" t="s">
        <v>192</v>
      </c>
      <c r="K20" s="38" t="s">
        <v>172</v>
      </c>
      <c r="L20" s="26" t="str">
        <f>IFERROR(VLOOKUP(D20,ドメインタイプDATA,6,FALSE)&amp;"","")</f>
        <v>number</v>
      </c>
      <c r="M20" s="26" t="str">
        <f>IFERROR(VLOOKUP(D20,ドメインタイプDATA,7,FALSE)&amp;"","")</f>
        <v/>
      </c>
      <c r="N20" s="32">
        <f ca="1">COUNTIF(派生元項目KEY,A20)</f>
        <v>0</v>
      </c>
      <c r="O20" s="32">
        <f ca="1">COUNTIF(区分値項目KEY,A20)</f>
        <v>0</v>
      </c>
    </row>
    <row r="21" spans="1:15" ht="15" x14ac:dyDescent="0.55000000000000004">
      <c r="A21" s="38" t="s">
        <v>173</v>
      </c>
      <c r="B21" s="38" t="s">
        <v>182</v>
      </c>
      <c r="C21" s="26" t="str">
        <f t="shared" si="0"/>
        <v>exclude_report</v>
      </c>
      <c r="D21" s="38" t="s">
        <v>118</v>
      </c>
      <c r="E21" s="33"/>
      <c r="F21" s="33"/>
      <c r="G21" s="33"/>
      <c r="H21" s="33"/>
      <c r="I21" s="33"/>
      <c r="J21" s="40" t="s">
        <v>190</v>
      </c>
      <c r="K21" s="38" t="s">
        <v>193</v>
      </c>
      <c r="L21" s="26" t="str">
        <f>IFERROR(VLOOKUP(D21,ドメインタイプDATA,6,FALSE)&amp;"","")</f>
        <v>boolean</v>
      </c>
      <c r="M21" s="26" t="str">
        <f>IFERROR(VLOOKUP(D21,ドメインタイプDATA,7,FALSE)&amp;"","")</f>
        <v/>
      </c>
      <c r="N21" s="32">
        <f ca="1">COUNTIF(派生元項目KEY,A21)</f>
        <v>0</v>
      </c>
      <c r="O21" s="32">
        <f ca="1">COUNTIF(区分値項目KEY,A21)</f>
        <v>0</v>
      </c>
    </row>
    <row r="22" spans="1:15" ht="15" x14ac:dyDescent="0.55000000000000004">
      <c r="A22" s="38" t="s">
        <v>198</v>
      </c>
      <c r="B22" s="38" t="s">
        <v>202</v>
      </c>
      <c r="C22" s="26" t="str">
        <f t="shared" si="0"/>
        <v>shipping_time</v>
      </c>
      <c r="D22" s="38" t="s">
        <v>199</v>
      </c>
      <c r="E22" s="40" t="s">
        <v>224</v>
      </c>
      <c r="F22" s="33"/>
      <c r="G22" s="33"/>
      <c r="H22" s="33"/>
      <c r="I22" s="33"/>
      <c r="J22" s="40" t="s">
        <v>200</v>
      </c>
      <c r="K22" s="38" t="s">
        <v>201</v>
      </c>
      <c r="L22" s="26" t="str">
        <f>IFERROR(VLOOKUP(D22,ドメインタイプDATA,6,FALSE)&amp;"","")</f>
        <v>string</v>
      </c>
      <c r="M22" s="26" t="str">
        <f>IFERROR(VLOOKUP(D22,ドメインタイプDATA,7,FALSE)&amp;"","")</f>
        <v/>
      </c>
      <c r="N22" s="32">
        <f ca="1">COUNTIF(派生元項目KEY,A22)</f>
        <v>0</v>
      </c>
      <c r="O22" s="32">
        <f ca="1">COUNTIF(区分値項目KEY,A22)</f>
        <v>0</v>
      </c>
    </row>
    <row r="23" spans="1:15" ht="15" x14ac:dyDescent="0.55000000000000004">
      <c r="A23" s="38" t="s">
        <v>203</v>
      </c>
      <c r="B23" s="38" t="s">
        <v>206</v>
      </c>
      <c r="C23" s="26" t="str">
        <f t="shared" si="0"/>
        <v>is_active_customer</v>
      </c>
      <c r="D23" s="38" t="s">
        <v>118</v>
      </c>
      <c r="E23" s="33"/>
      <c r="F23" s="33"/>
      <c r="G23" s="33"/>
      <c r="H23" s="33"/>
      <c r="I23" s="33"/>
      <c r="J23" s="40" t="s">
        <v>190</v>
      </c>
      <c r="K23" s="38" t="s">
        <v>208</v>
      </c>
      <c r="L23" s="26" t="str">
        <f>IFERROR(VLOOKUP(D23,ドメインタイプDATA,6,FALSE)&amp;"","")</f>
        <v>boolean</v>
      </c>
      <c r="M23" s="26" t="str">
        <f>IFERROR(VLOOKUP(D23,ドメインタイプDATA,7,FALSE)&amp;"","")</f>
        <v/>
      </c>
      <c r="N23" s="32">
        <f ca="1">COUNTIF(派生元項目KEY,A23)</f>
        <v>0</v>
      </c>
      <c r="O23" s="32">
        <f ca="1">COUNTIF(区分値項目KEY,A23)</f>
        <v>0</v>
      </c>
    </row>
    <row r="24" spans="1:15" ht="15" x14ac:dyDescent="0.55000000000000004">
      <c r="A24" s="43" t="s">
        <v>204</v>
      </c>
      <c r="B24" s="43" t="s">
        <v>207</v>
      </c>
      <c r="C24" s="44" t="str">
        <f t="shared" si="0"/>
        <v>customer_type</v>
      </c>
      <c r="D24" s="43" t="s">
        <v>222</v>
      </c>
      <c r="E24" s="45"/>
      <c r="F24" s="45"/>
      <c r="G24" s="45"/>
      <c r="H24" s="45"/>
      <c r="I24" s="45"/>
      <c r="J24" s="46" t="s">
        <v>209</v>
      </c>
      <c r="K24" s="43" t="s">
        <v>210</v>
      </c>
      <c r="L24" s="44" t="str">
        <f>IFERROR(VLOOKUP(D24,ドメインタイプDATA,6,FALSE)&amp;"","")</f>
        <v>string</v>
      </c>
      <c r="M24" s="44" t="str">
        <f>IFERROR(VLOOKUP(D24,ドメインタイプDATA,7,FALSE)&amp;"","")</f>
        <v/>
      </c>
      <c r="N24" s="47">
        <f ca="1">COUNTIF(派生元項目KEY,A24)</f>
        <v>0</v>
      </c>
      <c r="O24" s="47">
        <f ca="1">COUNTIF(区分値項目KEY,A24)</f>
        <v>4</v>
      </c>
    </row>
    <row r="25" spans="1:15" ht="15" x14ac:dyDescent="0.55000000000000004">
      <c r="A25" s="38"/>
      <c r="B25" s="38"/>
      <c r="C25" s="26" t="str">
        <f t="shared" ref="C25:C54" si="1">camel2snake(B25)</f>
        <v/>
      </c>
      <c r="D25" s="38"/>
      <c r="E25" s="38"/>
      <c r="F25" s="38"/>
      <c r="G25" s="38"/>
      <c r="H25" s="38"/>
      <c r="I25" s="38"/>
      <c r="J25" s="40"/>
      <c r="K25" s="38"/>
      <c r="L25" s="26" t="str">
        <f>IFERROR(VLOOKUP(D25,ドメインタイプDATA,6,FALSE)&amp;"","")</f>
        <v/>
      </c>
      <c r="M25" s="26" t="str">
        <f>IFERROR(VLOOKUP(D25,ドメインタイプDATA,7,FALSE)&amp;"","")</f>
        <v/>
      </c>
      <c r="N25" s="32">
        <f ca="1">COUNTIF(派生元項目KEY,A25)</f>
        <v>0</v>
      </c>
      <c r="O25" s="32">
        <f ca="1">COUNTIF(区分値項目KEY,A25)</f>
        <v>0</v>
      </c>
    </row>
    <row r="26" spans="1:15" ht="15" x14ac:dyDescent="0.55000000000000004">
      <c r="A26" s="38"/>
      <c r="B26" s="38"/>
      <c r="C26" s="26" t="str">
        <f t="shared" si="1"/>
        <v/>
      </c>
      <c r="D26" s="38"/>
      <c r="E26" s="38"/>
      <c r="F26" s="38"/>
      <c r="G26" s="38"/>
      <c r="H26" s="38"/>
      <c r="I26" s="38"/>
      <c r="J26" s="40"/>
      <c r="K26" s="38"/>
      <c r="L26" s="26" t="str">
        <f>IFERROR(VLOOKUP(D26,ドメインタイプDATA,6,FALSE)&amp;"","")</f>
        <v/>
      </c>
      <c r="M26" s="26" t="str">
        <f>IFERROR(VLOOKUP(D26,ドメインタイプDATA,7,FALSE)&amp;"","")</f>
        <v/>
      </c>
      <c r="N26" s="32">
        <f ca="1">COUNTIF(派生元項目KEY,A26)</f>
        <v>0</v>
      </c>
      <c r="O26" s="32">
        <f ca="1">COUNTIF(区分値項目KEY,A26)</f>
        <v>0</v>
      </c>
    </row>
    <row r="27" spans="1:15" ht="15" x14ac:dyDescent="0.55000000000000004">
      <c r="A27" s="38"/>
      <c r="B27" s="38"/>
      <c r="C27" s="26" t="str">
        <f t="shared" si="1"/>
        <v/>
      </c>
      <c r="D27" s="38"/>
      <c r="E27" s="38"/>
      <c r="F27" s="38"/>
      <c r="G27" s="38"/>
      <c r="H27" s="38"/>
      <c r="I27" s="38"/>
      <c r="J27" s="40"/>
      <c r="K27" s="38"/>
      <c r="L27" s="26" t="str">
        <f>IFERROR(VLOOKUP(D27,ドメインタイプDATA,6,FALSE)&amp;"","")</f>
        <v/>
      </c>
      <c r="M27" s="26" t="str">
        <f>IFERROR(VLOOKUP(D27,ドメインタイプDATA,7,FALSE)&amp;"","")</f>
        <v/>
      </c>
      <c r="N27" s="32">
        <f ca="1">COUNTIF(派生元項目KEY,A27)</f>
        <v>0</v>
      </c>
      <c r="O27" s="32">
        <f ca="1">COUNTIF(区分値項目KEY,A27)</f>
        <v>0</v>
      </c>
    </row>
    <row r="28" spans="1:15" ht="15" x14ac:dyDescent="0.55000000000000004">
      <c r="A28" s="38"/>
      <c r="B28" s="38"/>
      <c r="C28" s="26" t="str">
        <f t="shared" si="1"/>
        <v/>
      </c>
      <c r="D28" s="38"/>
      <c r="E28" s="38"/>
      <c r="F28" s="38"/>
      <c r="G28" s="38"/>
      <c r="H28" s="38"/>
      <c r="I28" s="38"/>
      <c r="J28" s="40"/>
      <c r="K28" s="38"/>
      <c r="L28" s="26" t="str">
        <f>IFERROR(VLOOKUP(D28,ドメインタイプDATA,6,FALSE)&amp;"","")</f>
        <v/>
      </c>
      <c r="M28" s="26" t="str">
        <f>IFERROR(VLOOKUP(D28,ドメインタイプDATA,7,FALSE)&amp;"","")</f>
        <v/>
      </c>
      <c r="N28" s="32">
        <f ca="1">COUNTIF(派生元項目KEY,A28)</f>
        <v>0</v>
      </c>
      <c r="O28" s="32">
        <f ca="1">COUNTIF(区分値項目KEY,A28)</f>
        <v>0</v>
      </c>
    </row>
    <row r="29" spans="1:15" ht="15" x14ac:dyDescent="0.55000000000000004">
      <c r="A29" s="38"/>
      <c r="B29" s="38"/>
      <c r="C29" s="26" t="str">
        <f t="shared" si="1"/>
        <v/>
      </c>
      <c r="D29" s="38"/>
      <c r="E29" s="38"/>
      <c r="F29" s="38"/>
      <c r="G29" s="38"/>
      <c r="H29" s="38"/>
      <c r="I29" s="38"/>
      <c r="J29" s="40"/>
      <c r="K29" s="38"/>
      <c r="L29" s="26" t="str">
        <f>IFERROR(VLOOKUP(D29,ドメインタイプDATA,6,FALSE)&amp;"","")</f>
        <v/>
      </c>
      <c r="M29" s="26" t="str">
        <f>IFERROR(VLOOKUP(D29,ドメインタイプDATA,7,FALSE)&amp;"","")</f>
        <v/>
      </c>
      <c r="N29" s="32">
        <f ca="1">COUNTIF(派生元項目KEY,A29)</f>
        <v>0</v>
      </c>
      <c r="O29" s="32">
        <f ca="1">COUNTIF(区分値項目KEY,A29)</f>
        <v>0</v>
      </c>
    </row>
    <row r="30" spans="1:15" ht="15" x14ac:dyDescent="0.55000000000000004">
      <c r="A30" s="38"/>
      <c r="B30" s="38"/>
      <c r="C30" s="26" t="str">
        <f t="shared" si="1"/>
        <v/>
      </c>
      <c r="D30" s="38"/>
      <c r="E30" s="38"/>
      <c r="F30" s="38"/>
      <c r="G30" s="38"/>
      <c r="H30" s="38"/>
      <c r="I30" s="38"/>
      <c r="J30" s="40"/>
      <c r="K30" s="38"/>
      <c r="L30" s="26" t="str">
        <f>IFERROR(VLOOKUP(D30,ドメインタイプDATA,6,FALSE)&amp;"","")</f>
        <v/>
      </c>
      <c r="M30" s="26" t="str">
        <f>IFERROR(VLOOKUP(D30,ドメインタイプDATA,7,FALSE)&amp;"","")</f>
        <v/>
      </c>
      <c r="N30" s="32">
        <f ca="1">COUNTIF(派生元項目KEY,A30)</f>
        <v>0</v>
      </c>
      <c r="O30" s="32">
        <f ca="1">COUNTIF(区分値項目KEY,A30)</f>
        <v>0</v>
      </c>
    </row>
    <row r="31" spans="1:15" ht="15" x14ac:dyDescent="0.55000000000000004">
      <c r="A31" s="38"/>
      <c r="B31" s="38"/>
      <c r="C31" s="26" t="str">
        <f t="shared" si="1"/>
        <v/>
      </c>
      <c r="D31" s="38"/>
      <c r="E31" s="38"/>
      <c r="F31" s="38"/>
      <c r="G31" s="38"/>
      <c r="H31" s="38"/>
      <c r="I31" s="38"/>
      <c r="J31" s="40"/>
      <c r="K31" s="38"/>
      <c r="L31" s="26" t="str">
        <f>IFERROR(VLOOKUP(D31,ドメインタイプDATA,6,FALSE)&amp;"","")</f>
        <v/>
      </c>
      <c r="M31" s="26" t="str">
        <f>IFERROR(VLOOKUP(D31,ドメインタイプDATA,7,FALSE)&amp;"","")</f>
        <v/>
      </c>
      <c r="N31" s="32">
        <f ca="1">COUNTIF(派生元項目KEY,A31)</f>
        <v>0</v>
      </c>
      <c r="O31" s="32">
        <f ca="1">COUNTIF(区分値項目KEY,A31)</f>
        <v>0</v>
      </c>
    </row>
    <row r="32" spans="1:15" ht="15" x14ac:dyDescent="0.55000000000000004">
      <c r="A32" s="38"/>
      <c r="B32" s="38"/>
      <c r="C32" s="26" t="str">
        <f t="shared" si="1"/>
        <v/>
      </c>
      <c r="D32" s="38"/>
      <c r="E32" s="38"/>
      <c r="F32" s="38"/>
      <c r="G32" s="38"/>
      <c r="H32" s="38"/>
      <c r="I32" s="38"/>
      <c r="J32" s="40"/>
      <c r="K32" s="38"/>
      <c r="L32" s="26" t="str">
        <f>IFERROR(VLOOKUP(D32,ドメインタイプDATA,6,FALSE)&amp;"","")</f>
        <v/>
      </c>
      <c r="M32" s="26" t="str">
        <f>IFERROR(VLOOKUP(D32,ドメインタイプDATA,7,FALSE)&amp;"","")</f>
        <v/>
      </c>
      <c r="N32" s="32">
        <f ca="1">COUNTIF(派生元項目KEY,A32)</f>
        <v>0</v>
      </c>
      <c r="O32" s="32">
        <f ca="1">COUNTIF(区分値項目KEY,A32)</f>
        <v>0</v>
      </c>
    </row>
    <row r="33" spans="1:15" ht="15" x14ac:dyDescent="0.55000000000000004">
      <c r="A33" s="38"/>
      <c r="B33" s="38"/>
      <c r="C33" s="26" t="str">
        <f t="shared" si="1"/>
        <v/>
      </c>
      <c r="D33" s="38"/>
      <c r="E33" s="38"/>
      <c r="F33" s="38"/>
      <c r="G33" s="38"/>
      <c r="H33" s="38"/>
      <c r="I33" s="38"/>
      <c r="J33" s="40"/>
      <c r="K33" s="38"/>
      <c r="L33" s="26" t="str">
        <f>IFERROR(VLOOKUP(D33,ドメインタイプDATA,6,FALSE)&amp;"","")</f>
        <v/>
      </c>
      <c r="M33" s="26" t="str">
        <f>IFERROR(VLOOKUP(D33,ドメインタイプDATA,7,FALSE)&amp;"","")</f>
        <v/>
      </c>
      <c r="N33" s="32">
        <f ca="1">COUNTIF(派生元項目KEY,A33)</f>
        <v>0</v>
      </c>
      <c r="O33" s="32">
        <f ca="1">COUNTIF(区分値項目KEY,A33)</f>
        <v>0</v>
      </c>
    </row>
    <row r="34" spans="1:15" ht="15" x14ac:dyDescent="0.55000000000000004">
      <c r="A34" s="38"/>
      <c r="B34" s="38"/>
      <c r="C34" s="26" t="str">
        <f t="shared" si="1"/>
        <v/>
      </c>
      <c r="D34" s="38"/>
      <c r="E34" s="38"/>
      <c r="F34" s="38"/>
      <c r="G34" s="38"/>
      <c r="H34" s="38"/>
      <c r="I34" s="38"/>
      <c r="J34" s="40"/>
      <c r="K34" s="38"/>
      <c r="L34" s="26" t="str">
        <f>IFERROR(VLOOKUP(D34,ドメインタイプDATA,6,FALSE)&amp;"","")</f>
        <v/>
      </c>
      <c r="M34" s="26" t="str">
        <f>IFERROR(VLOOKUP(D34,ドメインタイプDATA,7,FALSE)&amp;"","")</f>
        <v/>
      </c>
      <c r="N34" s="32">
        <f ca="1">COUNTIF(派生元項目KEY,A34)</f>
        <v>0</v>
      </c>
      <c r="O34" s="32">
        <f ca="1">COUNTIF(区分値項目KEY,A34)</f>
        <v>0</v>
      </c>
    </row>
    <row r="35" spans="1:15" ht="15" x14ac:dyDescent="0.55000000000000004">
      <c r="A35" s="38"/>
      <c r="B35" s="38"/>
      <c r="C35" s="26" t="str">
        <f t="shared" si="1"/>
        <v/>
      </c>
      <c r="D35" s="38"/>
      <c r="E35" s="38"/>
      <c r="F35" s="38"/>
      <c r="G35" s="38"/>
      <c r="H35" s="38"/>
      <c r="I35" s="38"/>
      <c r="J35" s="40"/>
      <c r="K35" s="38"/>
      <c r="L35" s="26" t="str">
        <f>IFERROR(VLOOKUP(D35,ドメインタイプDATA,6,FALSE)&amp;"","")</f>
        <v/>
      </c>
      <c r="M35" s="26" t="str">
        <f>IFERROR(VLOOKUP(D35,ドメインタイプDATA,7,FALSE)&amp;"","")</f>
        <v/>
      </c>
      <c r="N35" s="32">
        <f ca="1">COUNTIF(派生元項目KEY,A35)</f>
        <v>0</v>
      </c>
      <c r="O35" s="32">
        <f ca="1">COUNTIF(区分値項目KEY,A35)</f>
        <v>0</v>
      </c>
    </row>
    <row r="36" spans="1:15" ht="15" x14ac:dyDescent="0.55000000000000004">
      <c r="A36" s="38"/>
      <c r="B36" s="38"/>
      <c r="C36" s="26" t="str">
        <f t="shared" si="1"/>
        <v/>
      </c>
      <c r="D36" s="38"/>
      <c r="E36" s="38"/>
      <c r="F36" s="38"/>
      <c r="G36" s="38"/>
      <c r="H36" s="38"/>
      <c r="I36" s="38"/>
      <c r="J36" s="40"/>
      <c r="K36" s="38"/>
      <c r="L36" s="26" t="str">
        <f>IFERROR(VLOOKUP(D36,ドメインタイプDATA,6,FALSE)&amp;"","")</f>
        <v/>
      </c>
      <c r="M36" s="26" t="str">
        <f>IFERROR(VLOOKUP(D36,ドメインタイプDATA,7,FALSE)&amp;"","")</f>
        <v/>
      </c>
      <c r="N36" s="32">
        <f ca="1">COUNTIF(派生元項目KEY,A36)</f>
        <v>0</v>
      </c>
      <c r="O36" s="32">
        <f ca="1">COUNTIF(区分値項目KEY,A36)</f>
        <v>0</v>
      </c>
    </row>
    <row r="37" spans="1:15" ht="15" x14ac:dyDescent="0.55000000000000004">
      <c r="A37" s="38"/>
      <c r="B37" s="38"/>
      <c r="C37" s="26" t="str">
        <f t="shared" si="1"/>
        <v/>
      </c>
      <c r="D37" s="38"/>
      <c r="E37" s="38"/>
      <c r="F37" s="38"/>
      <c r="G37" s="38"/>
      <c r="H37" s="38"/>
      <c r="I37" s="38"/>
      <c r="J37" s="40"/>
      <c r="K37" s="38"/>
      <c r="L37" s="26" t="str">
        <f>IFERROR(VLOOKUP(D37,ドメインタイプDATA,6,FALSE)&amp;"","")</f>
        <v/>
      </c>
      <c r="M37" s="26" t="str">
        <f>IFERROR(VLOOKUP(D37,ドメインタイプDATA,7,FALSE)&amp;"","")</f>
        <v/>
      </c>
      <c r="N37" s="32">
        <f ca="1">COUNTIF(派生元項目KEY,A37)</f>
        <v>0</v>
      </c>
      <c r="O37" s="32">
        <f ca="1">COUNTIF(区分値項目KEY,A37)</f>
        <v>0</v>
      </c>
    </row>
    <row r="38" spans="1:15" ht="15" x14ac:dyDescent="0.55000000000000004">
      <c r="A38" s="38"/>
      <c r="B38" s="38"/>
      <c r="C38" s="26" t="str">
        <f t="shared" si="1"/>
        <v/>
      </c>
      <c r="D38" s="38"/>
      <c r="E38" s="38"/>
      <c r="F38" s="38"/>
      <c r="G38" s="38"/>
      <c r="H38" s="38"/>
      <c r="I38" s="38"/>
      <c r="J38" s="40"/>
      <c r="K38" s="38"/>
      <c r="L38" s="26" t="str">
        <f>IFERROR(VLOOKUP(D38,ドメインタイプDATA,6,FALSE)&amp;"","")</f>
        <v/>
      </c>
      <c r="M38" s="26" t="str">
        <f>IFERROR(VLOOKUP(D38,ドメインタイプDATA,7,FALSE)&amp;"","")</f>
        <v/>
      </c>
      <c r="N38" s="32">
        <f ca="1">COUNTIF(派生元項目KEY,A38)</f>
        <v>0</v>
      </c>
      <c r="O38" s="32">
        <f ca="1">COUNTIF(区分値項目KEY,A38)</f>
        <v>0</v>
      </c>
    </row>
    <row r="39" spans="1:15" ht="15" x14ac:dyDescent="0.55000000000000004">
      <c r="A39" s="38"/>
      <c r="B39" s="38"/>
      <c r="C39" s="26" t="str">
        <f t="shared" si="1"/>
        <v/>
      </c>
      <c r="D39" s="38"/>
      <c r="E39" s="38"/>
      <c r="F39" s="38"/>
      <c r="G39" s="38"/>
      <c r="H39" s="38"/>
      <c r="I39" s="38"/>
      <c r="J39" s="40"/>
      <c r="K39" s="38"/>
      <c r="L39" s="26" t="str">
        <f>IFERROR(VLOOKUP(D39,ドメインタイプDATA,6,FALSE)&amp;"","")</f>
        <v/>
      </c>
      <c r="M39" s="26" t="str">
        <f>IFERROR(VLOOKUP(D39,ドメインタイプDATA,7,FALSE)&amp;"","")</f>
        <v/>
      </c>
      <c r="N39" s="32">
        <f ca="1">COUNTIF(派生元項目KEY,A39)</f>
        <v>0</v>
      </c>
      <c r="O39" s="32">
        <f ca="1">COUNTIF(区分値項目KEY,A39)</f>
        <v>0</v>
      </c>
    </row>
    <row r="40" spans="1:15" ht="15" x14ac:dyDescent="0.55000000000000004">
      <c r="A40" s="38"/>
      <c r="B40" s="38"/>
      <c r="C40" s="26" t="str">
        <f t="shared" si="1"/>
        <v/>
      </c>
      <c r="D40" s="38"/>
      <c r="E40" s="38"/>
      <c r="F40" s="38"/>
      <c r="G40" s="38"/>
      <c r="H40" s="38"/>
      <c r="I40" s="38"/>
      <c r="J40" s="40"/>
      <c r="K40" s="38"/>
      <c r="L40" s="26" t="str">
        <f>IFERROR(VLOOKUP(D40,ドメインタイプDATA,6,FALSE)&amp;"","")</f>
        <v/>
      </c>
      <c r="M40" s="26" t="str">
        <f>IFERROR(VLOOKUP(D40,ドメインタイプDATA,7,FALSE)&amp;"","")</f>
        <v/>
      </c>
      <c r="N40" s="32">
        <f ca="1">COUNTIF(派生元項目KEY,A40)</f>
        <v>0</v>
      </c>
      <c r="O40" s="32">
        <f ca="1">COUNTIF(区分値項目KEY,A40)</f>
        <v>0</v>
      </c>
    </row>
    <row r="41" spans="1:15" ht="15" x14ac:dyDescent="0.55000000000000004">
      <c r="A41" s="38"/>
      <c r="B41" s="38"/>
      <c r="C41" s="26" t="str">
        <f t="shared" si="1"/>
        <v/>
      </c>
      <c r="D41" s="38"/>
      <c r="E41" s="38"/>
      <c r="F41" s="38"/>
      <c r="G41" s="38"/>
      <c r="H41" s="38"/>
      <c r="I41" s="38"/>
      <c r="J41" s="40"/>
      <c r="K41" s="38"/>
      <c r="L41" s="26" t="str">
        <f>IFERROR(VLOOKUP(D41,ドメインタイプDATA,6,FALSE)&amp;"","")</f>
        <v/>
      </c>
      <c r="M41" s="26" t="str">
        <f>IFERROR(VLOOKUP(D41,ドメインタイプDATA,7,FALSE)&amp;"","")</f>
        <v/>
      </c>
      <c r="N41" s="32">
        <f ca="1">COUNTIF(派生元項目KEY,A41)</f>
        <v>0</v>
      </c>
      <c r="O41" s="32">
        <f ca="1">COUNTIF(区分値項目KEY,A41)</f>
        <v>0</v>
      </c>
    </row>
    <row r="42" spans="1:15" ht="15" x14ac:dyDescent="0.55000000000000004">
      <c r="A42" s="38"/>
      <c r="B42" s="38"/>
      <c r="C42" s="26" t="str">
        <f t="shared" si="1"/>
        <v/>
      </c>
      <c r="D42" s="38"/>
      <c r="E42" s="38"/>
      <c r="F42" s="38"/>
      <c r="G42" s="38"/>
      <c r="H42" s="38"/>
      <c r="I42" s="38"/>
      <c r="J42" s="40"/>
      <c r="K42" s="38"/>
      <c r="L42" s="26" t="str">
        <f>IFERROR(VLOOKUP(D42,ドメインタイプDATA,6,FALSE)&amp;"","")</f>
        <v/>
      </c>
      <c r="M42" s="26" t="str">
        <f>IFERROR(VLOOKUP(D42,ドメインタイプDATA,7,FALSE)&amp;"","")</f>
        <v/>
      </c>
      <c r="N42" s="32">
        <f ca="1">COUNTIF(派生元項目KEY,A42)</f>
        <v>0</v>
      </c>
      <c r="O42" s="32">
        <f ca="1">COUNTIF(区分値項目KEY,A42)</f>
        <v>0</v>
      </c>
    </row>
    <row r="43" spans="1:15" ht="15" x14ac:dyDescent="0.55000000000000004">
      <c r="A43" s="38"/>
      <c r="B43" s="38"/>
      <c r="C43" s="26" t="str">
        <f t="shared" si="1"/>
        <v/>
      </c>
      <c r="D43" s="38"/>
      <c r="E43" s="38"/>
      <c r="F43" s="38"/>
      <c r="G43" s="38"/>
      <c r="H43" s="38"/>
      <c r="I43" s="38"/>
      <c r="J43" s="40"/>
      <c r="K43" s="38"/>
      <c r="L43" s="26" t="str">
        <f>IFERROR(VLOOKUP(D43,ドメインタイプDATA,6,FALSE)&amp;"","")</f>
        <v/>
      </c>
      <c r="M43" s="26" t="str">
        <f>IFERROR(VLOOKUP(D43,ドメインタイプDATA,7,FALSE)&amp;"","")</f>
        <v/>
      </c>
      <c r="N43" s="32">
        <f ca="1">COUNTIF(派生元項目KEY,A43)</f>
        <v>0</v>
      </c>
      <c r="O43" s="32">
        <f ca="1">COUNTIF(区分値項目KEY,A43)</f>
        <v>0</v>
      </c>
    </row>
    <row r="44" spans="1:15" ht="15" x14ac:dyDescent="0.55000000000000004">
      <c r="A44" s="38"/>
      <c r="B44" s="38"/>
      <c r="C44" s="26" t="str">
        <f t="shared" si="1"/>
        <v/>
      </c>
      <c r="D44" s="38"/>
      <c r="E44" s="38"/>
      <c r="F44" s="38"/>
      <c r="G44" s="38"/>
      <c r="H44" s="38"/>
      <c r="I44" s="38"/>
      <c r="J44" s="40"/>
      <c r="K44" s="38"/>
      <c r="L44" s="26" t="str">
        <f>IFERROR(VLOOKUP(D44,ドメインタイプDATA,6,FALSE)&amp;"","")</f>
        <v/>
      </c>
      <c r="M44" s="26" t="str">
        <f>IFERROR(VLOOKUP(D44,ドメインタイプDATA,7,FALSE)&amp;"","")</f>
        <v/>
      </c>
      <c r="N44" s="32">
        <f ca="1">COUNTIF(派生元項目KEY,A44)</f>
        <v>0</v>
      </c>
      <c r="O44" s="32">
        <f ca="1">COUNTIF(区分値項目KEY,A44)</f>
        <v>0</v>
      </c>
    </row>
    <row r="45" spans="1:15" ht="15" x14ac:dyDescent="0.55000000000000004">
      <c r="A45" s="38"/>
      <c r="B45" s="38"/>
      <c r="C45" s="26" t="str">
        <f t="shared" si="1"/>
        <v/>
      </c>
      <c r="D45" s="38"/>
      <c r="E45" s="38"/>
      <c r="F45" s="38"/>
      <c r="G45" s="38"/>
      <c r="H45" s="38"/>
      <c r="I45" s="38"/>
      <c r="J45" s="40"/>
      <c r="K45" s="38"/>
      <c r="L45" s="26" t="str">
        <f>IFERROR(VLOOKUP(D45,ドメインタイプDATA,6,FALSE)&amp;"","")</f>
        <v/>
      </c>
      <c r="M45" s="26" t="str">
        <f>IFERROR(VLOOKUP(D45,ドメインタイプDATA,7,FALSE)&amp;"","")</f>
        <v/>
      </c>
      <c r="N45" s="32">
        <f ca="1">COUNTIF(派生元項目KEY,A45)</f>
        <v>0</v>
      </c>
      <c r="O45" s="32">
        <f ca="1">COUNTIF(区分値項目KEY,A45)</f>
        <v>0</v>
      </c>
    </row>
    <row r="46" spans="1:15" ht="15" x14ac:dyDescent="0.55000000000000004">
      <c r="A46" s="38"/>
      <c r="B46" s="38"/>
      <c r="C46" s="26" t="str">
        <f t="shared" si="1"/>
        <v/>
      </c>
      <c r="D46" s="38"/>
      <c r="E46" s="38"/>
      <c r="F46" s="38"/>
      <c r="G46" s="38"/>
      <c r="H46" s="38"/>
      <c r="I46" s="38"/>
      <c r="J46" s="40"/>
      <c r="K46" s="38"/>
      <c r="L46" s="26" t="str">
        <f>IFERROR(VLOOKUP(D46,ドメインタイプDATA,6,FALSE)&amp;"","")</f>
        <v/>
      </c>
      <c r="M46" s="26" t="str">
        <f>IFERROR(VLOOKUP(D46,ドメインタイプDATA,7,FALSE)&amp;"","")</f>
        <v/>
      </c>
      <c r="N46" s="32">
        <f ca="1">COUNTIF(派生元項目KEY,A46)</f>
        <v>0</v>
      </c>
      <c r="O46" s="32">
        <f ca="1">COUNTIF(区分値項目KEY,A46)</f>
        <v>0</v>
      </c>
    </row>
    <row r="47" spans="1:15" ht="15" x14ac:dyDescent="0.55000000000000004">
      <c r="A47" s="38"/>
      <c r="B47" s="38"/>
      <c r="C47" s="26" t="str">
        <f t="shared" si="1"/>
        <v/>
      </c>
      <c r="D47" s="38"/>
      <c r="E47" s="38"/>
      <c r="F47" s="38"/>
      <c r="G47" s="38"/>
      <c r="H47" s="38"/>
      <c r="I47" s="38"/>
      <c r="J47" s="40"/>
      <c r="K47" s="38"/>
      <c r="L47" s="26" t="str">
        <f>IFERROR(VLOOKUP(D47,ドメインタイプDATA,6,FALSE)&amp;"","")</f>
        <v/>
      </c>
      <c r="M47" s="26" t="str">
        <f>IFERROR(VLOOKUP(D47,ドメインタイプDATA,7,FALSE)&amp;"","")</f>
        <v/>
      </c>
      <c r="N47" s="32">
        <f ca="1">COUNTIF(派生元項目KEY,A47)</f>
        <v>0</v>
      </c>
      <c r="O47" s="32">
        <f ca="1">COUNTIF(区分値項目KEY,A47)</f>
        <v>0</v>
      </c>
    </row>
    <row r="48" spans="1:15" ht="15" x14ac:dyDescent="0.55000000000000004">
      <c r="A48" s="38"/>
      <c r="B48" s="38"/>
      <c r="C48" s="26" t="str">
        <f t="shared" si="1"/>
        <v/>
      </c>
      <c r="D48" s="38"/>
      <c r="E48" s="38"/>
      <c r="F48" s="38"/>
      <c r="G48" s="38"/>
      <c r="H48" s="38"/>
      <c r="I48" s="38"/>
      <c r="J48" s="40"/>
      <c r="K48" s="38"/>
      <c r="L48" s="26" t="str">
        <f>IFERROR(VLOOKUP(D48,ドメインタイプDATA,6,FALSE)&amp;"","")</f>
        <v/>
      </c>
      <c r="M48" s="26" t="str">
        <f>IFERROR(VLOOKUP(D48,ドメインタイプDATA,7,FALSE)&amp;"","")</f>
        <v/>
      </c>
      <c r="N48" s="32">
        <f ca="1">COUNTIF(派生元項目KEY,A48)</f>
        <v>0</v>
      </c>
      <c r="O48" s="32">
        <f ca="1">COUNTIF(区分値項目KEY,A48)</f>
        <v>0</v>
      </c>
    </row>
    <row r="49" spans="1:15" ht="15" x14ac:dyDescent="0.55000000000000004">
      <c r="A49" s="38"/>
      <c r="B49" s="38"/>
      <c r="C49" s="26" t="str">
        <f t="shared" si="1"/>
        <v/>
      </c>
      <c r="D49" s="38"/>
      <c r="E49" s="38"/>
      <c r="F49" s="38"/>
      <c r="G49" s="38"/>
      <c r="H49" s="38"/>
      <c r="I49" s="38"/>
      <c r="J49" s="40"/>
      <c r="K49" s="38"/>
      <c r="L49" s="26" t="str">
        <f>IFERROR(VLOOKUP(D49,ドメインタイプDATA,6,FALSE)&amp;"","")</f>
        <v/>
      </c>
      <c r="M49" s="26" t="str">
        <f>IFERROR(VLOOKUP(D49,ドメインタイプDATA,7,FALSE)&amp;"","")</f>
        <v/>
      </c>
      <c r="N49" s="32">
        <f ca="1">COUNTIF(派生元項目KEY,A49)</f>
        <v>0</v>
      </c>
      <c r="O49" s="32">
        <f ca="1">COUNTIF(区分値項目KEY,A49)</f>
        <v>0</v>
      </c>
    </row>
    <row r="50" spans="1:15" ht="15" x14ac:dyDescent="0.55000000000000004">
      <c r="A50" s="38"/>
      <c r="B50" s="38"/>
      <c r="C50" s="26" t="str">
        <f t="shared" si="1"/>
        <v/>
      </c>
      <c r="D50" s="38"/>
      <c r="E50" s="38"/>
      <c r="F50" s="38"/>
      <c r="G50" s="38"/>
      <c r="H50" s="38"/>
      <c r="I50" s="38"/>
      <c r="J50" s="40"/>
      <c r="K50" s="38"/>
      <c r="L50" s="26" t="str">
        <f>IFERROR(VLOOKUP(D50,ドメインタイプDATA,6,FALSE)&amp;"","")</f>
        <v/>
      </c>
      <c r="M50" s="26" t="str">
        <f>IFERROR(VLOOKUP(D50,ドメインタイプDATA,7,FALSE)&amp;"","")</f>
        <v/>
      </c>
      <c r="N50" s="32">
        <f ca="1">COUNTIF(派生元項目KEY,A50)</f>
        <v>0</v>
      </c>
      <c r="O50" s="32">
        <f ca="1">COUNTIF(区分値項目KEY,A50)</f>
        <v>0</v>
      </c>
    </row>
    <row r="51" spans="1:15" ht="15" x14ac:dyDescent="0.55000000000000004">
      <c r="A51" s="38"/>
      <c r="B51" s="38"/>
      <c r="C51" s="26" t="str">
        <f t="shared" si="1"/>
        <v/>
      </c>
      <c r="D51" s="38"/>
      <c r="E51" s="38"/>
      <c r="F51" s="38"/>
      <c r="G51" s="38"/>
      <c r="H51" s="38"/>
      <c r="I51" s="38"/>
      <c r="J51" s="40"/>
      <c r="K51" s="38"/>
      <c r="L51" s="26" t="str">
        <f>IFERROR(VLOOKUP(D51,ドメインタイプDATA,6,FALSE)&amp;"","")</f>
        <v/>
      </c>
      <c r="M51" s="26" t="str">
        <f>IFERROR(VLOOKUP(D51,ドメインタイプDATA,7,FALSE)&amp;"","")</f>
        <v/>
      </c>
      <c r="N51" s="32">
        <f ca="1">COUNTIF(派生元項目KEY,A51)</f>
        <v>0</v>
      </c>
      <c r="O51" s="32">
        <f ca="1">COUNTIF(区分値項目KEY,A51)</f>
        <v>0</v>
      </c>
    </row>
    <row r="52" spans="1:15" ht="15" x14ac:dyDescent="0.55000000000000004">
      <c r="A52" s="38"/>
      <c r="B52" s="38"/>
      <c r="C52" s="26" t="str">
        <f t="shared" si="1"/>
        <v/>
      </c>
      <c r="D52" s="38"/>
      <c r="E52" s="38"/>
      <c r="F52" s="38"/>
      <c r="G52" s="38"/>
      <c r="H52" s="38"/>
      <c r="I52" s="38"/>
      <c r="J52" s="40"/>
      <c r="K52" s="38"/>
      <c r="L52" s="26" t="str">
        <f>IFERROR(VLOOKUP(D52,ドメインタイプDATA,6,FALSE)&amp;"","")</f>
        <v/>
      </c>
      <c r="M52" s="26" t="str">
        <f>IFERROR(VLOOKUP(D52,ドメインタイプDATA,7,FALSE)&amp;"","")</f>
        <v/>
      </c>
      <c r="N52" s="32">
        <f ca="1">COUNTIF(派生元項目KEY,A52)</f>
        <v>0</v>
      </c>
      <c r="O52" s="32">
        <f ca="1">COUNTIF(区分値項目KEY,A52)</f>
        <v>0</v>
      </c>
    </row>
    <row r="53" spans="1:15" ht="15" x14ac:dyDescent="0.55000000000000004">
      <c r="A53" s="38"/>
      <c r="B53" s="38"/>
      <c r="C53" s="26" t="str">
        <f t="shared" si="1"/>
        <v/>
      </c>
      <c r="D53" s="38"/>
      <c r="E53" s="38"/>
      <c r="F53" s="38"/>
      <c r="G53" s="38"/>
      <c r="H53" s="38"/>
      <c r="I53" s="38"/>
      <c r="J53" s="40"/>
      <c r="K53" s="38"/>
      <c r="L53" s="26" t="str">
        <f>IFERROR(VLOOKUP(D53,ドメインタイプDATA,6,FALSE)&amp;"","")</f>
        <v/>
      </c>
      <c r="M53" s="26" t="str">
        <f>IFERROR(VLOOKUP(D53,ドメインタイプDATA,7,FALSE)&amp;"","")</f>
        <v/>
      </c>
      <c r="N53" s="32">
        <f ca="1">COUNTIF(派生元項目KEY,A53)</f>
        <v>0</v>
      </c>
      <c r="O53" s="32">
        <f ca="1">COUNTIF(区分値項目KEY,A53)</f>
        <v>0</v>
      </c>
    </row>
    <row r="54" spans="1:15" ht="15" x14ac:dyDescent="0.55000000000000004">
      <c r="A54" s="39"/>
      <c r="B54" s="39"/>
      <c r="C54" s="27" t="str">
        <f t="shared" si="1"/>
        <v/>
      </c>
      <c r="D54" s="39"/>
      <c r="E54" s="39"/>
      <c r="F54" s="39"/>
      <c r="G54" s="39"/>
      <c r="H54" s="39"/>
      <c r="I54" s="39"/>
      <c r="J54" s="41"/>
      <c r="K54" s="39"/>
      <c r="L54" s="27" t="str">
        <f>IFERROR(VLOOKUP(D54,ドメインタイプDATA,6,FALSE)&amp;"","")</f>
        <v/>
      </c>
      <c r="M54" s="27" t="str">
        <f>IFERROR(VLOOKUP(D54,ドメインタイプDATA,7,FALSE)&amp;"","")</f>
        <v/>
      </c>
      <c r="N54" s="36">
        <f ca="1">COUNTIF(派生元項目KEY,A54)</f>
        <v>0</v>
      </c>
      <c r="O54" s="36">
        <f ca="1">COUNTIF(区分値項目KEY,A54)</f>
        <v>0</v>
      </c>
    </row>
    <row r="55" spans="1:15" ht="18" x14ac:dyDescent="0.5500000000000000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 ht="18" x14ac:dyDescent="0.5500000000000000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</sheetData>
  <phoneticPr fontId="1"/>
  <conditionalFormatting sqref="B2:B24 D2:D24 J2:K24">
    <cfRule type="expression" dxfId="14" priority="1" stopIfTrue="1">
      <formula>AND($A2&lt;&gt;"",B2="")</formula>
    </cfRule>
  </conditionalFormatting>
  <conditionalFormatting sqref="E22">
    <cfRule type="containsBlanks" dxfId="13" priority="2" stopIfTrue="1">
      <formula>LEN(TRIM(E22))=0</formula>
    </cfRule>
  </conditionalFormatting>
  <conditionalFormatting sqref="F2:G2 F12:G12 G14 F15:G15 G16 F17:G17 G18">
    <cfRule type="containsBlanks" dxfId="12" priority="3" stopIfTrue="1">
      <formula>LEN(TRIM(F2))=0</formula>
    </cfRule>
  </conditionalFormatting>
  <conditionalFormatting sqref="H3:I4 H11:I11 H20:I20">
    <cfRule type="containsBlanks" dxfId="11" priority="4" stopIfTrue="1">
      <formula>LEN(TRIM(H3))=0</formula>
    </cfRule>
  </conditionalFormatting>
  <conditionalFormatting sqref="B25:B54 D25:D54 J25:K54">
    <cfRule type="expression" dxfId="0" priority="5" stopIfTrue="1">
      <formula>AND($A25&lt;&gt;"",B25="")</formula>
    </cfRule>
  </conditionalFormatting>
  <dataValidations count="13">
    <dataValidation imeMode="on" allowBlank="1" showInputMessage="1" showErrorMessage="1" sqref="K1758:K1048576 A1 K1 A1758:A1048576" xr:uid="{82371562-DA48-418A-B9E1-F875CA10CC30}"/>
    <dataValidation imeMode="off" allowBlank="1" showInputMessage="1" showErrorMessage="1" sqref="E1:J1 E1758:J1048576 B1 B1758:B1048576" xr:uid="{A44170C6-B920-46F2-AEA3-D4E9954343F7}"/>
    <dataValidation type="list" allowBlank="1" showInputMessage="1" showErrorMessage="1" sqref="D2:D24 D25:D54" xr:uid="{6091F766-549A-4FBC-838C-8FA76185EF42}">
      <formula1>ドメインタイプKEY</formula1>
    </dataValidation>
    <dataValidation imeMode="on" allowBlank="1" showInputMessage="1" showErrorMessage="1" sqref="K2:K24 A2:A24" xr:uid="{2CF6E265-8B94-4DFC-9870-9C4107120139}"/>
    <dataValidation imeMode="off" allowBlank="1" showInputMessage="1" showErrorMessage="1" sqref="B2:B24" xr:uid="{10AE25CC-FE28-467F-87E7-3C6E3727487B}"/>
    <dataValidation imeMode="off" allowBlank="1" showInputMessage="1" showErrorMessage="1" sqref="E22" xr:uid="{FDCAD041-C726-4755-A1BE-710DAD86235C}"/>
    <dataValidation imeMode="off" allowBlank="1" showInputMessage="1" showErrorMessage="1" sqref="E7 E14 E16 E18" xr:uid="{6B5F1D78-7F54-4EF9-8693-4EC3DC2251B8}"/>
    <dataValidation type="whole" imeMode="off" allowBlank="1" showInputMessage="1" showErrorMessage="1" error="0-1000の間で入力可能" sqref="F2:G2 F12:G12 G14 F15:G15 G16 F17:G17 G18" xr:uid="{DD5FD22C-FAB3-4C21-B963-2D51F6966D74}">
      <formula1>0</formula1>
      <formula2>1000</formula2>
    </dataValidation>
    <dataValidation type="whole" imeMode="off" allowBlank="1" showInputMessage="1" showErrorMessage="1" error="0-1000の間で入力可能" sqref="F7 F14 F16 F18" xr:uid="{BAF03619-34E1-43D9-9A2C-41AE352AD8AC}">
      <formula1>0</formula1>
      <formula2>1000</formula2>
    </dataValidation>
    <dataValidation type="whole" imeMode="off" allowBlank="1" showInputMessage="1" showErrorMessage="1" error="数値のみ入力可能" sqref="H3:I4 H11:I11 H20:I20" xr:uid="{52CB0149-8663-4CC6-8DC0-FD3B7FC5896E}">
      <formula1>-99999999</formula1>
      <formula2>99999999</formula2>
    </dataValidation>
    <dataValidation type="textLength" imeMode="off" operator="equal" allowBlank="1" showInputMessage="1" showErrorMessage="1" error="入力不可項目です" sqref="H2:I2 E2:E6 F3:G6 H5:I6 G7:I7 E8:I10 E11:G11 H12:I12 E12:E13 F13:I13 E15 E17 H14:I18 E19:I19 E20:G21 H21:I21 F22:I22 E23:I24" xr:uid="{52D08FBB-5049-4F02-B1E2-F8BECE2106F7}">
      <formula1>0</formula1>
    </dataValidation>
    <dataValidation imeMode="on" allowBlank="1" showInputMessage="1" showErrorMessage="1" sqref="A25:A54 K25:K54" xr:uid="{C5C7BBB8-B3C3-4941-ADCE-19400FBE1EAD}"/>
    <dataValidation imeMode="off" allowBlank="1" showInputMessage="1" showErrorMessage="1" sqref="B25:B54" xr:uid="{226664F9-3364-4729-A874-1CDD8A18B53F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490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78</v>
      </c>
      <c r="B1" s="28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38" t="s">
        <v>84</v>
      </c>
      <c r="B2" s="38" t="s">
        <v>96</v>
      </c>
      <c r="C2" s="38" t="s">
        <v>112</v>
      </c>
      <c r="D2" s="26" t="str">
        <f t="shared" ref="D2:D35" si="0">camel2snake(C2)</f>
        <v>campane_price</v>
      </c>
      <c r="E2" s="38" t="s">
        <v>97</v>
      </c>
    </row>
    <row r="3" spans="1:5" x14ac:dyDescent="0.55000000000000004">
      <c r="A3" s="38" t="s">
        <v>136</v>
      </c>
      <c r="B3" s="38" t="s">
        <v>148</v>
      </c>
      <c r="C3" s="38" t="s">
        <v>149</v>
      </c>
      <c r="D3" s="26" t="str">
        <f t="shared" si="0"/>
        <v>order_pic</v>
      </c>
      <c r="E3" s="38" t="s">
        <v>151</v>
      </c>
    </row>
    <row r="4" spans="1:5" x14ac:dyDescent="0.55000000000000004">
      <c r="A4" s="38" t="s">
        <v>136</v>
      </c>
      <c r="B4" s="38" t="s">
        <v>150</v>
      </c>
      <c r="C4" s="38" t="s">
        <v>195</v>
      </c>
      <c r="D4" s="26" t="str">
        <f t="shared" si="0"/>
        <v>product_pic</v>
      </c>
      <c r="E4" s="38" t="s">
        <v>152</v>
      </c>
    </row>
    <row r="5" spans="1:5" x14ac:dyDescent="0.55000000000000004">
      <c r="A5" s="43" t="s">
        <v>129</v>
      </c>
      <c r="B5" s="43" t="s">
        <v>196</v>
      </c>
      <c r="C5" s="43" t="s">
        <v>197</v>
      </c>
      <c r="D5" s="44" t="str">
        <f t="shared" si="0"/>
        <v>salese_department</v>
      </c>
      <c r="E5" s="43" t="s">
        <v>196</v>
      </c>
    </row>
    <row r="6" spans="1:5" x14ac:dyDescent="0.55000000000000004">
      <c r="A6" s="38"/>
      <c r="B6" s="38"/>
      <c r="C6" s="38"/>
      <c r="D6" s="26" t="str">
        <f t="shared" ref="D6:D35" si="1">camel2snake(C6)</f>
        <v/>
      </c>
      <c r="E6" s="38"/>
    </row>
    <row r="7" spans="1:5" x14ac:dyDescent="0.55000000000000004">
      <c r="A7" s="38"/>
      <c r="B7" s="38"/>
      <c r="C7" s="38"/>
      <c r="D7" s="26" t="str">
        <f t="shared" si="1"/>
        <v/>
      </c>
      <c r="E7" s="38"/>
    </row>
    <row r="8" spans="1:5" x14ac:dyDescent="0.55000000000000004">
      <c r="A8" s="38"/>
      <c r="B8" s="38"/>
      <c r="C8" s="38"/>
      <c r="D8" s="26" t="str">
        <f t="shared" si="1"/>
        <v/>
      </c>
      <c r="E8" s="38"/>
    </row>
    <row r="9" spans="1:5" x14ac:dyDescent="0.55000000000000004">
      <c r="A9" s="38"/>
      <c r="B9" s="38"/>
      <c r="C9" s="38"/>
      <c r="D9" s="26" t="str">
        <f t="shared" si="1"/>
        <v/>
      </c>
      <c r="E9" s="38"/>
    </row>
    <row r="10" spans="1:5" x14ac:dyDescent="0.55000000000000004">
      <c r="A10" s="38"/>
      <c r="B10" s="38"/>
      <c r="C10" s="38"/>
      <c r="D10" s="26" t="str">
        <f t="shared" si="1"/>
        <v/>
      </c>
      <c r="E10" s="38"/>
    </row>
    <row r="11" spans="1:5" x14ac:dyDescent="0.55000000000000004">
      <c r="A11" s="38"/>
      <c r="B11" s="38"/>
      <c r="C11" s="38"/>
      <c r="D11" s="26" t="str">
        <f t="shared" si="1"/>
        <v/>
      </c>
      <c r="E11" s="38"/>
    </row>
    <row r="12" spans="1:5" x14ac:dyDescent="0.55000000000000004">
      <c r="A12" s="38"/>
      <c r="B12" s="38"/>
      <c r="C12" s="38"/>
      <c r="D12" s="26" t="str">
        <f t="shared" si="1"/>
        <v/>
      </c>
      <c r="E12" s="38"/>
    </row>
    <row r="13" spans="1:5" x14ac:dyDescent="0.55000000000000004">
      <c r="A13" s="38"/>
      <c r="B13" s="38"/>
      <c r="C13" s="38"/>
      <c r="D13" s="26" t="str">
        <f t="shared" si="1"/>
        <v/>
      </c>
      <c r="E13" s="38"/>
    </row>
    <row r="14" spans="1:5" x14ac:dyDescent="0.55000000000000004">
      <c r="A14" s="38"/>
      <c r="B14" s="38"/>
      <c r="C14" s="38"/>
      <c r="D14" s="26" t="str">
        <f t="shared" si="1"/>
        <v/>
      </c>
      <c r="E14" s="38"/>
    </row>
    <row r="15" spans="1:5" x14ac:dyDescent="0.55000000000000004">
      <c r="A15" s="38"/>
      <c r="B15" s="38"/>
      <c r="C15" s="38"/>
      <c r="D15" s="26" t="str">
        <f t="shared" si="1"/>
        <v/>
      </c>
      <c r="E15" s="38"/>
    </row>
    <row r="16" spans="1:5" x14ac:dyDescent="0.55000000000000004">
      <c r="A16" s="38"/>
      <c r="B16" s="38"/>
      <c r="C16" s="38"/>
      <c r="D16" s="26" t="str">
        <f t="shared" si="1"/>
        <v/>
      </c>
      <c r="E16" s="38"/>
    </row>
    <row r="17" spans="1:5" x14ac:dyDescent="0.55000000000000004">
      <c r="A17" s="38"/>
      <c r="B17" s="38"/>
      <c r="C17" s="38"/>
      <c r="D17" s="26" t="str">
        <f t="shared" si="1"/>
        <v/>
      </c>
      <c r="E17" s="38"/>
    </row>
    <row r="18" spans="1:5" x14ac:dyDescent="0.55000000000000004">
      <c r="A18" s="38"/>
      <c r="B18" s="38"/>
      <c r="C18" s="38"/>
      <c r="D18" s="26" t="str">
        <f t="shared" si="1"/>
        <v/>
      </c>
      <c r="E18" s="38"/>
    </row>
    <row r="19" spans="1:5" x14ac:dyDescent="0.55000000000000004">
      <c r="A19" s="38"/>
      <c r="B19" s="38"/>
      <c r="C19" s="38"/>
      <c r="D19" s="26" t="str">
        <f t="shared" si="1"/>
        <v/>
      </c>
      <c r="E19" s="38"/>
    </row>
    <row r="20" spans="1:5" x14ac:dyDescent="0.55000000000000004">
      <c r="A20" s="38"/>
      <c r="B20" s="38"/>
      <c r="C20" s="38"/>
      <c r="D20" s="26" t="str">
        <f t="shared" si="1"/>
        <v/>
      </c>
      <c r="E20" s="38"/>
    </row>
    <row r="21" spans="1:5" x14ac:dyDescent="0.55000000000000004">
      <c r="A21" s="38"/>
      <c r="B21" s="38"/>
      <c r="C21" s="38"/>
      <c r="D21" s="26" t="str">
        <f t="shared" si="1"/>
        <v/>
      </c>
      <c r="E21" s="38"/>
    </row>
    <row r="22" spans="1:5" x14ac:dyDescent="0.55000000000000004">
      <c r="A22" s="38"/>
      <c r="B22" s="38"/>
      <c r="C22" s="38"/>
      <c r="D22" s="26" t="str">
        <f t="shared" si="1"/>
        <v/>
      </c>
      <c r="E22" s="38"/>
    </row>
    <row r="23" spans="1:5" x14ac:dyDescent="0.55000000000000004">
      <c r="A23" s="38"/>
      <c r="B23" s="38"/>
      <c r="C23" s="38"/>
      <c r="D23" s="26" t="str">
        <f t="shared" si="1"/>
        <v/>
      </c>
      <c r="E23" s="38"/>
    </row>
    <row r="24" spans="1:5" x14ac:dyDescent="0.55000000000000004">
      <c r="A24" s="38"/>
      <c r="B24" s="38"/>
      <c r="C24" s="38"/>
      <c r="D24" s="26" t="str">
        <f t="shared" si="1"/>
        <v/>
      </c>
      <c r="E24" s="38"/>
    </row>
    <row r="25" spans="1:5" x14ac:dyDescent="0.55000000000000004">
      <c r="A25" s="38"/>
      <c r="B25" s="38"/>
      <c r="C25" s="38"/>
      <c r="D25" s="26" t="str">
        <f t="shared" si="1"/>
        <v/>
      </c>
      <c r="E25" s="38"/>
    </row>
    <row r="26" spans="1:5" x14ac:dyDescent="0.55000000000000004">
      <c r="A26" s="38"/>
      <c r="B26" s="38"/>
      <c r="C26" s="38"/>
      <c r="D26" s="26" t="str">
        <f t="shared" si="1"/>
        <v/>
      </c>
      <c r="E26" s="38"/>
    </row>
    <row r="27" spans="1:5" x14ac:dyDescent="0.55000000000000004">
      <c r="A27" s="38"/>
      <c r="B27" s="38"/>
      <c r="C27" s="38"/>
      <c r="D27" s="26" t="str">
        <f t="shared" si="1"/>
        <v/>
      </c>
      <c r="E27" s="38"/>
    </row>
    <row r="28" spans="1:5" x14ac:dyDescent="0.55000000000000004">
      <c r="A28" s="38"/>
      <c r="B28" s="38"/>
      <c r="C28" s="38"/>
      <c r="D28" s="26" t="str">
        <f t="shared" si="1"/>
        <v/>
      </c>
      <c r="E28" s="38"/>
    </row>
    <row r="29" spans="1:5" x14ac:dyDescent="0.55000000000000004">
      <c r="A29" s="38"/>
      <c r="B29" s="38"/>
      <c r="C29" s="38"/>
      <c r="D29" s="26" t="str">
        <f t="shared" si="1"/>
        <v/>
      </c>
      <c r="E29" s="38"/>
    </row>
    <row r="30" spans="1:5" x14ac:dyDescent="0.55000000000000004">
      <c r="A30" s="38"/>
      <c r="B30" s="38"/>
      <c r="C30" s="38"/>
      <c r="D30" s="26" t="str">
        <f t="shared" si="1"/>
        <v/>
      </c>
      <c r="E30" s="38"/>
    </row>
    <row r="31" spans="1:5" x14ac:dyDescent="0.55000000000000004">
      <c r="A31" s="38"/>
      <c r="B31" s="38"/>
      <c r="C31" s="38"/>
      <c r="D31" s="26" t="str">
        <f t="shared" si="1"/>
        <v/>
      </c>
      <c r="E31" s="38"/>
    </row>
    <row r="32" spans="1:5" x14ac:dyDescent="0.55000000000000004">
      <c r="A32" s="38"/>
      <c r="B32" s="38"/>
      <c r="C32" s="38"/>
      <c r="D32" s="26" t="str">
        <f t="shared" si="1"/>
        <v/>
      </c>
      <c r="E32" s="38"/>
    </row>
    <row r="33" spans="1:5" x14ac:dyDescent="0.55000000000000004">
      <c r="A33" s="38"/>
      <c r="B33" s="38"/>
      <c r="C33" s="38"/>
      <c r="D33" s="26" t="str">
        <f t="shared" si="1"/>
        <v/>
      </c>
      <c r="E33" s="38"/>
    </row>
    <row r="34" spans="1:5" x14ac:dyDescent="0.55000000000000004">
      <c r="A34" s="38"/>
      <c r="B34" s="38"/>
      <c r="C34" s="38"/>
      <c r="D34" s="26" t="str">
        <f t="shared" si="1"/>
        <v/>
      </c>
      <c r="E34" s="38"/>
    </row>
    <row r="35" spans="1:5" x14ac:dyDescent="0.55000000000000004">
      <c r="A35" s="39"/>
      <c r="B35" s="39"/>
      <c r="C35" s="39"/>
      <c r="D35" s="27" t="str">
        <f t="shared" si="1"/>
        <v/>
      </c>
      <c r="E35" s="39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</sheetData>
  <phoneticPr fontId="1"/>
  <conditionalFormatting sqref="A2:A5">
    <cfRule type="expression" dxfId="10" priority="1" stopIfTrue="1">
      <formula>AND(A2&lt;&gt;"",ISNA(MATCH(A2,項目リスト,0)))</formula>
    </cfRule>
  </conditionalFormatting>
  <conditionalFormatting sqref="B2:C5 E2:E5">
    <cfRule type="expression" dxfId="9" priority="2" stopIfTrue="1">
      <formula>AND($A2&lt;&gt;"",B2="")</formula>
    </cfRule>
  </conditionalFormatting>
  <conditionalFormatting sqref="A6:A35">
    <cfRule type="expression" dxfId="2" priority="3" stopIfTrue="1">
      <formula>AND(A6&lt;&gt;"",ISNA(MATCH(A6,項目リスト,0)))</formula>
    </cfRule>
  </conditionalFormatting>
  <conditionalFormatting sqref="B6:C35 E6:E35">
    <cfRule type="expression" dxfId="1" priority="4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E2:E5 B2:B5" xr:uid="{F7477E37-9B45-4A4D-8FA6-519D67637293}"/>
    <dataValidation imeMode="off" allowBlank="1" showInputMessage="1" showErrorMessage="1" sqref="C2:C5" xr:uid="{9D1AEA12-E2EA-44CD-A85F-B41B91364314}"/>
    <dataValidation imeMode="on" allowBlank="1" showInputMessage="1" showErrorMessage="1" sqref="B6:B35 E6:E35" xr:uid="{EA52DE31-8D43-42DD-977B-5DD726CE36D4}"/>
    <dataValidation imeMode="off" allowBlank="1" showInputMessage="1" showErrorMessage="1" sqref="C6:C35" xr:uid="{1CF41F56-B437-4FDD-8F7D-5F83D64E97AA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770"/>
  <sheetViews>
    <sheetView showGridLines="0" workbookViewId="0">
      <pane ySplit="1" topLeftCell="A2" activePane="bottomLeft" state="frozen"/>
      <selection activeCell="E5" sqref="E5"/>
      <selection pane="bottomLeft" activeCell="B14" sqref="B14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83</v>
      </c>
      <c r="B1" s="31" t="s">
        <v>9</v>
      </c>
      <c r="C1" s="19" t="s">
        <v>127</v>
      </c>
      <c r="D1" s="22" t="s">
        <v>6</v>
      </c>
    </row>
    <row r="2" spans="1:4" x14ac:dyDescent="0.55000000000000004">
      <c r="A2" s="38" t="s">
        <v>98</v>
      </c>
      <c r="B2" s="38" t="s">
        <v>124</v>
      </c>
      <c r="C2" s="38" t="s">
        <v>102</v>
      </c>
      <c r="D2" s="38" t="s">
        <v>103</v>
      </c>
    </row>
    <row r="3" spans="1:4" x14ac:dyDescent="0.55000000000000004">
      <c r="A3" s="38" t="s">
        <v>98</v>
      </c>
      <c r="B3" s="38" t="s">
        <v>128</v>
      </c>
      <c r="C3" s="38" t="s">
        <v>101</v>
      </c>
      <c r="D3" s="38" t="s">
        <v>104</v>
      </c>
    </row>
    <row r="4" spans="1:4" x14ac:dyDescent="0.55000000000000004">
      <c r="A4" s="38" t="s">
        <v>98</v>
      </c>
      <c r="B4" s="38" t="s">
        <v>125</v>
      </c>
      <c r="C4" s="38" t="s">
        <v>105</v>
      </c>
      <c r="D4" s="38" t="s">
        <v>108</v>
      </c>
    </row>
    <row r="5" spans="1:4" x14ac:dyDescent="0.55000000000000004">
      <c r="A5" s="38" t="s">
        <v>98</v>
      </c>
      <c r="B5" s="38" t="s">
        <v>126</v>
      </c>
      <c r="C5" s="38" t="s">
        <v>106</v>
      </c>
      <c r="D5" s="38" t="s">
        <v>107</v>
      </c>
    </row>
    <row r="6" spans="1:4" x14ac:dyDescent="0.55000000000000004">
      <c r="A6" s="38" t="s">
        <v>129</v>
      </c>
      <c r="B6" s="38" t="s">
        <v>153</v>
      </c>
      <c r="C6" s="38" t="s">
        <v>154</v>
      </c>
      <c r="D6" s="38" t="s">
        <v>155</v>
      </c>
    </row>
    <row r="7" spans="1:4" x14ac:dyDescent="0.55000000000000004">
      <c r="A7" s="38" t="s">
        <v>129</v>
      </c>
      <c r="B7" s="38" t="s">
        <v>156</v>
      </c>
      <c r="C7" s="38" t="s">
        <v>157</v>
      </c>
      <c r="D7" s="38" t="s">
        <v>158</v>
      </c>
    </row>
    <row r="8" spans="1:4" x14ac:dyDescent="0.55000000000000004">
      <c r="A8" s="38" t="s">
        <v>129</v>
      </c>
      <c r="B8" s="38" t="s">
        <v>159</v>
      </c>
      <c r="C8" s="38" t="s">
        <v>160</v>
      </c>
      <c r="D8" s="38" t="s">
        <v>161</v>
      </c>
    </row>
    <row r="9" spans="1:4" x14ac:dyDescent="0.55000000000000004">
      <c r="A9" s="38" t="s">
        <v>129</v>
      </c>
      <c r="B9" s="38" t="s">
        <v>162</v>
      </c>
      <c r="C9" s="38" t="s">
        <v>163</v>
      </c>
      <c r="D9" s="38" t="s">
        <v>164</v>
      </c>
    </row>
    <row r="10" spans="1:4" x14ac:dyDescent="0.55000000000000004">
      <c r="A10" s="38" t="s">
        <v>129</v>
      </c>
      <c r="B10" s="38" t="s">
        <v>165</v>
      </c>
      <c r="C10" s="38" t="s">
        <v>166</v>
      </c>
      <c r="D10" s="38" t="s">
        <v>167</v>
      </c>
    </row>
    <row r="11" spans="1:4" x14ac:dyDescent="0.55000000000000004">
      <c r="A11" s="38" t="s">
        <v>204</v>
      </c>
      <c r="B11" s="38" t="s">
        <v>211</v>
      </c>
      <c r="C11" s="38" t="s">
        <v>212</v>
      </c>
      <c r="D11" s="38" t="s">
        <v>212</v>
      </c>
    </row>
    <row r="12" spans="1:4" x14ac:dyDescent="0.55000000000000004">
      <c r="A12" s="38" t="s">
        <v>204</v>
      </c>
      <c r="B12" s="38" t="s">
        <v>209</v>
      </c>
      <c r="C12" s="38" t="s">
        <v>101</v>
      </c>
      <c r="D12" s="38" t="s">
        <v>213</v>
      </c>
    </row>
    <row r="13" spans="1:4" x14ac:dyDescent="0.55000000000000004">
      <c r="A13" s="38" t="s">
        <v>204</v>
      </c>
      <c r="B13" s="38" t="s">
        <v>214</v>
      </c>
      <c r="C13" s="38" t="s">
        <v>215</v>
      </c>
      <c r="D13" s="38" t="s">
        <v>215</v>
      </c>
    </row>
    <row r="14" spans="1:4" x14ac:dyDescent="0.55000000000000004">
      <c r="A14" s="43" t="s">
        <v>204</v>
      </c>
      <c r="B14" s="43" t="s">
        <v>216</v>
      </c>
      <c r="C14" s="43" t="s">
        <v>217</v>
      </c>
      <c r="D14" s="43" t="s">
        <v>217</v>
      </c>
    </row>
    <row r="15" spans="1:4" x14ac:dyDescent="0.55000000000000004">
      <c r="A15" s="38"/>
      <c r="B15" s="38"/>
      <c r="C15" s="38"/>
      <c r="D15" s="38"/>
    </row>
    <row r="16" spans="1:4" x14ac:dyDescent="0.55000000000000004">
      <c r="A16" s="38"/>
      <c r="B16" s="38"/>
      <c r="C16" s="38"/>
      <c r="D16" s="38"/>
    </row>
    <row r="17" spans="1:4" x14ac:dyDescent="0.55000000000000004">
      <c r="A17" s="38"/>
      <c r="B17" s="38"/>
      <c r="C17" s="38"/>
      <c r="D17" s="38"/>
    </row>
    <row r="18" spans="1:4" x14ac:dyDescent="0.55000000000000004">
      <c r="A18" s="38"/>
      <c r="B18" s="38"/>
      <c r="C18" s="38"/>
      <c r="D18" s="38"/>
    </row>
    <row r="19" spans="1:4" x14ac:dyDescent="0.55000000000000004">
      <c r="A19" s="38"/>
      <c r="B19" s="38"/>
      <c r="C19" s="38"/>
      <c r="D19" s="38"/>
    </row>
    <row r="20" spans="1:4" x14ac:dyDescent="0.55000000000000004">
      <c r="A20" s="38"/>
      <c r="B20" s="38"/>
      <c r="C20" s="38"/>
      <c r="D20" s="38"/>
    </row>
    <row r="21" spans="1:4" x14ac:dyDescent="0.55000000000000004">
      <c r="A21" s="38"/>
      <c r="B21" s="38"/>
      <c r="C21" s="38"/>
      <c r="D21" s="38"/>
    </row>
    <row r="22" spans="1:4" x14ac:dyDescent="0.55000000000000004">
      <c r="A22" s="38"/>
      <c r="B22" s="38"/>
      <c r="C22" s="38"/>
      <c r="D22" s="38"/>
    </row>
    <row r="23" spans="1:4" x14ac:dyDescent="0.55000000000000004">
      <c r="A23" s="38"/>
      <c r="B23" s="38"/>
      <c r="C23" s="38"/>
      <c r="D23" s="38"/>
    </row>
    <row r="24" spans="1:4" x14ac:dyDescent="0.55000000000000004">
      <c r="A24" s="38"/>
      <c r="B24" s="38"/>
      <c r="C24" s="38"/>
      <c r="D24" s="38"/>
    </row>
    <row r="25" spans="1:4" x14ac:dyDescent="0.55000000000000004">
      <c r="A25" s="38"/>
      <c r="B25" s="38"/>
      <c r="C25" s="38"/>
      <c r="D25" s="38"/>
    </row>
    <row r="26" spans="1:4" x14ac:dyDescent="0.55000000000000004">
      <c r="A26" s="38"/>
      <c r="B26" s="38"/>
      <c r="C26" s="38"/>
      <c r="D26" s="38"/>
    </row>
    <row r="27" spans="1:4" x14ac:dyDescent="0.55000000000000004">
      <c r="A27" s="38"/>
      <c r="B27" s="38"/>
      <c r="C27" s="38"/>
      <c r="D27" s="38"/>
    </row>
    <row r="28" spans="1:4" x14ac:dyDescent="0.55000000000000004">
      <c r="A28" s="38"/>
      <c r="B28" s="38"/>
      <c r="C28" s="38"/>
      <c r="D28" s="38"/>
    </row>
    <row r="29" spans="1:4" x14ac:dyDescent="0.55000000000000004">
      <c r="A29" s="38"/>
      <c r="B29" s="38"/>
      <c r="C29" s="38"/>
      <c r="D29" s="38"/>
    </row>
    <row r="30" spans="1:4" x14ac:dyDescent="0.55000000000000004">
      <c r="A30" s="38"/>
      <c r="B30" s="38"/>
      <c r="C30" s="38"/>
      <c r="D30" s="38"/>
    </row>
    <row r="31" spans="1:4" x14ac:dyDescent="0.55000000000000004">
      <c r="A31" s="38"/>
      <c r="B31" s="38"/>
      <c r="C31" s="38"/>
      <c r="D31" s="38"/>
    </row>
    <row r="32" spans="1:4" x14ac:dyDescent="0.55000000000000004">
      <c r="A32" s="38"/>
      <c r="B32" s="38"/>
      <c r="C32" s="38"/>
      <c r="D32" s="38"/>
    </row>
    <row r="33" spans="1:4" x14ac:dyDescent="0.55000000000000004">
      <c r="A33" s="38"/>
      <c r="B33" s="38"/>
      <c r="C33" s="38"/>
      <c r="D33" s="38"/>
    </row>
    <row r="34" spans="1:4" x14ac:dyDescent="0.55000000000000004">
      <c r="A34" s="38"/>
      <c r="B34" s="38"/>
      <c r="C34" s="38"/>
      <c r="D34" s="38"/>
    </row>
    <row r="35" spans="1:4" x14ac:dyDescent="0.55000000000000004">
      <c r="A35" s="38"/>
      <c r="B35" s="38"/>
      <c r="C35" s="38"/>
      <c r="D35" s="38"/>
    </row>
    <row r="36" spans="1:4" x14ac:dyDescent="0.55000000000000004">
      <c r="A36" s="38"/>
      <c r="B36" s="38"/>
      <c r="C36" s="38"/>
      <c r="D36" s="38"/>
    </row>
    <row r="37" spans="1:4" x14ac:dyDescent="0.55000000000000004">
      <c r="A37" s="38"/>
      <c r="B37" s="38"/>
      <c r="C37" s="38"/>
      <c r="D37" s="38"/>
    </row>
    <row r="38" spans="1:4" x14ac:dyDescent="0.55000000000000004">
      <c r="A38" s="38"/>
      <c r="B38" s="38"/>
      <c r="C38" s="38"/>
      <c r="D38" s="38"/>
    </row>
    <row r="39" spans="1:4" x14ac:dyDescent="0.55000000000000004">
      <c r="A39" s="38"/>
      <c r="B39" s="38"/>
      <c r="C39" s="38"/>
      <c r="D39" s="38"/>
    </row>
    <row r="40" spans="1:4" x14ac:dyDescent="0.55000000000000004">
      <c r="A40" s="38"/>
      <c r="B40" s="38"/>
      <c r="C40" s="38"/>
      <c r="D40" s="38"/>
    </row>
    <row r="41" spans="1:4" x14ac:dyDescent="0.55000000000000004">
      <c r="A41" s="38"/>
      <c r="B41" s="38"/>
      <c r="C41" s="38"/>
      <c r="D41" s="38"/>
    </row>
    <row r="42" spans="1:4" x14ac:dyDescent="0.55000000000000004">
      <c r="A42" s="38"/>
      <c r="B42" s="38"/>
      <c r="C42" s="38"/>
      <c r="D42" s="38"/>
    </row>
    <row r="43" spans="1:4" x14ac:dyDescent="0.55000000000000004">
      <c r="A43" s="38"/>
      <c r="B43" s="38"/>
      <c r="C43" s="38"/>
      <c r="D43" s="38"/>
    </row>
    <row r="44" spans="1:4" x14ac:dyDescent="0.55000000000000004">
      <c r="A44" s="39"/>
      <c r="B44" s="39"/>
      <c r="C44" s="39"/>
      <c r="D44" s="39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</sheetData>
  <phoneticPr fontId="1"/>
  <conditionalFormatting sqref="A2:A14">
    <cfRule type="expression" dxfId="8" priority="1" stopIfTrue="1">
      <formula>AND(A2&lt;&gt;"",ISNA(MATCH(A2,区分値リスト,0)))</formula>
    </cfRule>
  </conditionalFormatting>
  <conditionalFormatting sqref="B2:D14">
    <cfRule type="expression" dxfId="7" priority="2" stopIfTrue="1">
      <formula>AND($A2&lt;&gt;"",B2="")</formula>
    </cfRule>
  </conditionalFormatting>
  <conditionalFormatting sqref="A15:A44">
    <cfRule type="expression" dxfId="4" priority="3" stopIfTrue="1">
      <formula>AND(A15&lt;&gt;"",ISNA(MATCH(A15,区分値リスト,0)))</formula>
    </cfRule>
  </conditionalFormatting>
  <conditionalFormatting sqref="B15:D44">
    <cfRule type="expression" dxfId="3" priority="4" stopIfTrue="1">
      <formula>AND($A15&lt;&gt;"",B15="")</formula>
    </cfRule>
  </conditionalFormatting>
  <dataValidations count="6">
    <dataValidation imeMode="on" allowBlank="1" showInputMessage="1" showErrorMessage="1" sqref="D1 A1:B1" xr:uid="{C5AAAFF2-DD94-4110-B09E-5AAB7B674F1C}"/>
    <dataValidation type="list" allowBlank="1" showInputMessage="1" showErrorMessage="1" sqref="A2:A14 A15:A44" xr:uid="{6023A3D2-5A66-44B7-90D4-13F3190857F7}">
      <formula1>区分値リスト</formula1>
    </dataValidation>
    <dataValidation imeMode="on" allowBlank="1" showInputMessage="1" showErrorMessage="1" sqref="C2:D14" xr:uid="{307B2BAC-A86C-41FA-A76A-9484F9BF0FDD}"/>
    <dataValidation imeMode="off" allowBlank="1" showInputMessage="1" showErrorMessage="1" sqref="B2:B14" xr:uid="{37A19FF1-67D9-44C3-A13F-349239663A6F}"/>
    <dataValidation imeMode="on" allowBlank="1" showInputMessage="1" showErrorMessage="1" sqref="C15:D44" xr:uid="{7B56A10B-E50A-45F5-88FF-5879A7FB5060}"/>
    <dataValidation imeMode="off" allowBlank="1" showInputMessage="1" showErrorMessage="1" sqref="B15:B44" xr:uid="{A8419227-FAEF-446A-A792-DCB5846A2F79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4" activePane="bottomLeft" state="frozen"/>
      <selection pane="bottomLeft" activeCell="J13" sqref="J13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221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-1</v>
      </c>
      <c r="J5" s="6">
        <v>-1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5" t="s">
        <v>122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35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1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1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17" priority="1" operator="equal">
      <formula>0</formula>
    </cfRule>
    <cfRule type="cellIs" dxfId="16" priority="2" operator="lessThan">
      <formula>0</formula>
    </cfRule>
    <cfRule type="cellIs" dxfId="15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4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170</v>
      </c>
      <c r="F2" t="s">
        <v>98</v>
      </c>
    </row>
    <row r="3" spans="1:6" x14ac:dyDescent="0.55000000000000004">
      <c r="B3" s="25" t="s">
        <v>76</v>
      </c>
      <c r="D3" t="s">
        <v>84</v>
      </c>
      <c r="F3" t="s">
        <v>129</v>
      </c>
    </row>
    <row r="4" spans="1:6" x14ac:dyDescent="0.55000000000000004">
      <c r="D4" t="s">
        <v>85</v>
      </c>
      <c r="F4" t="s">
        <v>204</v>
      </c>
    </row>
    <row r="5" spans="1:6" x14ac:dyDescent="0.55000000000000004">
      <c r="A5" t="s">
        <v>82</v>
      </c>
      <c r="B5" s="29" t="s">
        <v>84</v>
      </c>
      <c r="D5" t="s">
        <v>94</v>
      </c>
    </row>
    <row r="6" spans="1:6" x14ac:dyDescent="0.55000000000000004">
      <c r="A6" t="s">
        <v>81</v>
      </c>
      <c r="B6" s="29"/>
      <c r="D6" t="s">
        <v>98</v>
      </c>
    </row>
    <row r="7" spans="1:6" x14ac:dyDescent="0.55000000000000004">
      <c r="A7" t="s">
        <v>83</v>
      </c>
      <c r="B7" s="29" t="s">
        <v>84</v>
      </c>
      <c r="D7" t="s">
        <v>113</v>
      </c>
    </row>
    <row r="8" spans="1:6" x14ac:dyDescent="0.55000000000000004">
      <c r="D8" t="s">
        <v>117</v>
      </c>
    </row>
    <row r="9" spans="1:6" x14ac:dyDescent="0.55000000000000004">
      <c r="D9" t="s">
        <v>129</v>
      </c>
    </row>
    <row r="10" spans="1:6" x14ac:dyDescent="0.55000000000000004">
      <c r="D10" t="s">
        <v>130</v>
      </c>
    </row>
    <row r="11" spans="1:6" x14ac:dyDescent="0.55000000000000004">
      <c r="D11" t="s">
        <v>131</v>
      </c>
    </row>
    <row r="12" spans="1:6" x14ac:dyDescent="0.55000000000000004">
      <c r="D12" t="s">
        <v>171</v>
      </c>
    </row>
    <row r="13" spans="1:6" x14ac:dyDescent="0.55000000000000004">
      <c r="D13" t="s">
        <v>133</v>
      </c>
    </row>
    <row r="14" spans="1:6" x14ac:dyDescent="0.55000000000000004">
      <c r="D14" t="s">
        <v>135</v>
      </c>
    </row>
    <row r="15" spans="1:6" x14ac:dyDescent="0.55000000000000004">
      <c r="D15" t="s">
        <v>136</v>
      </c>
    </row>
    <row r="16" spans="1:6" x14ac:dyDescent="0.55000000000000004">
      <c r="D16" t="s">
        <v>218</v>
      </c>
    </row>
    <row r="17" spans="4:4" x14ac:dyDescent="0.55000000000000004">
      <c r="D17" t="s">
        <v>168</v>
      </c>
    </row>
    <row r="18" spans="4:4" x14ac:dyDescent="0.55000000000000004">
      <c r="D18" t="s">
        <v>219</v>
      </c>
    </row>
    <row r="19" spans="4:4" x14ac:dyDescent="0.55000000000000004">
      <c r="D19" t="s">
        <v>169</v>
      </c>
    </row>
    <row r="20" spans="4:4" x14ac:dyDescent="0.55000000000000004">
      <c r="D20" t="s">
        <v>172</v>
      </c>
    </row>
    <row r="21" spans="4:4" x14ac:dyDescent="0.55000000000000004">
      <c r="D21" t="s">
        <v>173</v>
      </c>
    </row>
    <row r="22" spans="4:4" x14ac:dyDescent="0.55000000000000004">
      <c r="D22" t="s">
        <v>198</v>
      </c>
    </row>
    <row r="23" spans="4:4" x14ac:dyDescent="0.55000000000000004">
      <c r="D23" t="s">
        <v>203</v>
      </c>
    </row>
    <row r="24" spans="4:4" x14ac:dyDescent="0.55000000000000004">
      <c r="D24" t="s">
        <v>204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2024-01-19T14:56:16Z</dcterms:modified>
</cp:coreProperties>
</file>