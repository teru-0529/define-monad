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EBC0517B-FA86-414E-8502-00E133C5512E}" xr6:coauthVersionLast="47" xr6:coauthVersionMax="47" xr10:uidLastSave="{00000000-0000-0000-0000-000000000000}"/>
  <bookViews>
    <workbookView xWindow="-110" yWindow="-110" windowWidth="19420" windowHeight="10300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INVALID">FALSE</definedName>
    <definedName name="VALID">TRUE</definedName>
    <definedName name="VALIDATION_RESULT">TRUE</definedName>
    <definedName name="ドメインタイプDATA">タイプ!$A$2:$N$14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8" i="3" l="1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N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M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C28" i="3"/>
  <c r="C36" i="3"/>
  <c r="C44" i="3"/>
  <c r="C52" i="3"/>
  <c r="C29" i="3"/>
  <c r="C37" i="3"/>
  <c r="C45" i="3"/>
  <c r="C53" i="3"/>
  <c r="C30" i="3"/>
  <c r="C38" i="3"/>
  <c r="C46" i="3"/>
  <c r="C54" i="3"/>
  <c r="C31" i="3"/>
  <c r="C39" i="3"/>
  <c r="C47" i="3"/>
  <c r="C55" i="3"/>
  <c r="C33" i="3"/>
  <c r="C41" i="3"/>
  <c r="C49" i="3"/>
  <c r="C57" i="3"/>
  <c r="C32" i="3"/>
  <c r="C40" i="3"/>
  <c r="C48" i="3"/>
  <c r="C56" i="3"/>
  <c r="C34" i="3"/>
  <c r="C42" i="3"/>
  <c r="C50" i="3"/>
  <c r="C35" i="3"/>
  <c r="C43" i="3"/>
  <c r="C51" i="3"/>
  <c r="D6" i="5"/>
  <c r="D14" i="5"/>
  <c r="D22" i="5"/>
  <c r="D30" i="5"/>
  <c r="D7" i="5"/>
  <c r="D15" i="5"/>
  <c r="D23" i="5"/>
  <c r="D31" i="5"/>
  <c r="D8" i="5"/>
  <c r="D16" i="5"/>
  <c r="D24" i="5"/>
  <c r="D32" i="5"/>
  <c r="D9" i="5"/>
  <c r="D17" i="5"/>
  <c r="D25" i="5"/>
  <c r="D33" i="5"/>
  <c r="D10" i="5"/>
  <c r="D18" i="5"/>
  <c r="D26" i="5"/>
  <c r="D34" i="5"/>
  <c r="D11" i="5"/>
  <c r="D19" i="5"/>
  <c r="D27" i="5"/>
  <c r="D35" i="5"/>
  <c r="D12" i="5"/>
  <c r="D20" i="5"/>
  <c r="D28" i="5"/>
  <c r="D13" i="5"/>
  <c r="D21" i="5"/>
  <c r="D29" i="5"/>
  <c r="D2" i="5"/>
  <c r="D3" i="5"/>
  <c r="D4" i="5"/>
  <c r="D5" i="5"/>
  <c r="C5" i="3"/>
  <c r="C13" i="3"/>
  <c r="C21" i="3"/>
  <c r="C6" i="3"/>
  <c r="C14" i="3"/>
  <c r="C22" i="3"/>
  <c r="C7" i="3"/>
  <c r="C15" i="3"/>
  <c r="C23" i="3"/>
  <c r="C16" i="3"/>
  <c r="C24" i="3"/>
  <c r="C9" i="3"/>
  <c r="C17" i="3"/>
  <c r="C25" i="3"/>
  <c r="C2" i="3"/>
  <c r="C10" i="3"/>
  <c r="C18" i="3"/>
  <c r="C26" i="3"/>
  <c r="C3" i="3"/>
  <c r="C11" i="3"/>
  <c r="C19" i="3"/>
  <c r="C27" i="3"/>
  <c r="C4" i="3"/>
  <c r="C12" i="3"/>
  <c r="C20" i="3"/>
  <c r="C8" i="3"/>
</calcChain>
</file>

<file path=xl/sharedStrings.xml><?xml version="1.0" encoding="utf-8"?>
<sst xmlns="http://schemas.openxmlformats.org/spreadsheetml/2006/main" count="378" uniqueCount="239">
  <si>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</si>
  <si>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</si>
  <si>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</si>
  <si>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</si>
  <si>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</si>
  <si>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</si>
  <si>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</si>
  <si>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</si>
  <si>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</si>
  <si>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</si>
  <si>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</si>
  <si>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</si>
  <si>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</si>
  <si>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</si>
  <si>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</si>
  <si>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</si>
  <si>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</si>
  <si>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</si>
  <si>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</si>
  <si>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</si>
  <si>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</si>
  <si>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</si>
  <si>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</si>
  <si>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</si>
  <si>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</si>
  <si>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</si>
  <si>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</si>
  <si>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</si>
  <si>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</si>
  <si>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</si>
  <si>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</si>
  <si>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</si>
  <si>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</si>
  <si>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</si>
  <si>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</si>
  <si>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</si>
  <si>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</si>
  <si>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</si>
  <si>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</si>
  <si>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</si>
  <si>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</si>
  <si>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</si>
  <si>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</si>
  <si>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</si>
  <si>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</si>
  <si>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</si>
  <si>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</si>
  <si>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</si>
  <si>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</si>
  <si>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</si>
  <si>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</si>
  <si>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</si>
  <si>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</si>
  <si>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</si>
  <si>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</si>
  <si>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</si>
  <si>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</si>
  <si>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</si>
  <si>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</si>
  <si>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</si>
  <si>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</si>
  <si>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</si>
  <si>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</si>
  <si>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</si>
  <si>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</si>
  <si>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</si>
  <si>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</si>
  <si>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</si>
  <si>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</si>
  <si>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</si>
  <si>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</si>
  <si>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</si>
  <si>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</si>
  <si>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</si>
  <si>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最小値
最大値</t>
    <rPh sb="0" eb="3">
      <t>サイショウチ</t>
    </rPh>
    <rPh sb="4" eb="7">
      <t>サイダイチ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</si>
  <si>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</si>
  <si>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</si>
  <si>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</si>
  <si>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</si>
  <si>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</si>
  <si>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</si>
  <si>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</si>
  <si>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</si>
  <si>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</si>
  <si>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定価</t>
  </si>
  <si>
    <t>UP</t>
  </si>
  <si>
    <t>price</t>
  </si>
  <si>
    <t>up</t>
  </si>
  <si>
    <t>AAA000001</t>
  </si>
  <si>
    <t>整数</t>
  </si>
  <si>
    <t>日付</t>
  </si>
  <si>
    <t>実数</t>
  </si>
  <si>
    <t>14000</t>
  </si>
  <si>
    <t>250.25</t>
  </si>
  <si>
    <t>登録日</t>
  </si>
  <si>
    <t>2022-12-31</t>
  </si>
  <si>
    <t>キャンペーン定価</t>
  </si>
  <si>
    <t>キャンペーンの定価</t>
  </si>
  <si>
    <t>商品区分</t>
  </si>
  <si>
    <t>productKbn</t>
  </si>
  <si>
    <t>商品の状態を表す区分</t>
  </si>
  <si>
    <t>通常</t>
  </si>
  <si>
    <t>未確認</t>
  </si>
  <si>
    <t>未確認商品</t>
  </si>
  <si>
    <t>通常商品</t>
  </si>
  <si>
    <t>変更</t>
  </si>
  <si>
    <t>中止</t>
  </si>
  <si>
    <t>販売中止品</t>
  </si>
  <si>
    <t>他商品に変更</t>
  </si>
  <si>
    <t>商品特定のユニークキー</t>
  </si>
  <si>
    <t>円、希望小売価格</t>
  </si>
  <si>
    <t>仕入れ先からの購入価格</t>
  </si>
  <si>
    <t>campanePrice</t>
  </si>
  <si>
    <t>コメント</t>
  </si>
  <si>
    <t>テキスト</t>
  </si>
  <si>
    <t>comment</t>
  </si>
  <si>
    <t>制御用装置</t>
  </si>
  <si>
    <t>更新可能</t>
  </si>
  <si>
    <t>可否/フラグ</t>
  </si>
  <si>
    <t>false</t>
  </si>
  <si>
    <t>更新可否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</si>
  <si>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</si>
  <si>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</si>
  <si>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canUpdate</t>
  </si>
  <si>
    <t>NO_CHECKED</t>
  </si>
  <si>
    <t>CHANGED</t>
  </si>
  <si>
    <t>STOPPED</t>
  </si>
  <si>
    <t>区分名</t>
    <rPh sb="0" eb="3">
      <t>クブンメイ</t>
    </rPh>
    <phoneticPr fontId="1"/>
  </si>
  <si>
    <t>NORMAL</t>
  </si>
  <si>
    <t>部署</t>
  </si>
  <si>
    <t>受注日</t>
  </si>
  <si>
    <t>数量</t>
  </si>
  <si>
    <t>受注番号</t>
  </si>
  <si>
    <t>受注連番</t>
  </si>
  <si>
    <t>ID</t>
  </si>
  <si>
    <t>担当者名</t>
  </si>
  <si>
    <t>ユーザーID</t>
  </si>
  <si>
    <t>orderDate</t>
  </si>
  <si>
    <t>quantity</t>
  </si>
  <si>
    <t>orderDetailNo</t>
  </si>
  <si>
    <t>userId</t>
  </si>
  <si>
    <t>30</t>
  </si>
  <si>
    <t>RO-0000001</t>
  </si>
  <si>
    <t>1051</t>
  </si>
  <si>
    <t>文字列</t>
  </si>
  <si>
    <t>織田信長</t>
  </si>
  <si>
    <t>業務担当者</t>
  </si>
  <si>
    <t>システム利用ユーザー</t>
  </si>
  <si>
    <t>受注担当者ID</t>
  </si>
  <si>
    <t>orderPIC</t>
  </si>
  <si>
    <t>商品担当者ID</t>
  </si>
  <si>
    <t>受注担当者のユーザーID</t>
  </si>
  <si>
    <t>商品管理者のユーザーID</t>
  </si>
  <si>
    <t>RECEIVING</t>
  </si>
  <si>
    <t>受注部</t>
  </si>
  <si>
    <t>受注・発送</t>
  </si>
  <si>
    <t>ORDERING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</si>
  <si>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</si>
  <si>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</si>
  <si>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</si>
  <si>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</si>
  <si>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</si>
  <si>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</si>
  <si>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</si>
  <si>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</si>
  <si>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</si>
  <si>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</si>
  <si>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</si>
  <si>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得意先ID</t>
  </si>
  <si>
    <t>稼働中</t>
  </si>
  <si>
    <t>商品No</t>
  </si>
  <si>
    <t>受注No</t>
  </si>
  <si>
    <t>利益率</t>
  </si>
  <si>
    <t>帳票未表示</t>
  </si>
  <si>
    <t>productNo</t>
  </si>
  <si>
    <t>receivedOrderNo</t>
  </si>
  <si>
    <t>personInCharge</t>
  </si>
  <si>
    <t>productName</t>
  </si>
  <si>
    <t>customerId</t>
  </si>
  <si>
    <t>customerName</t>
  </si>
  <si>
    <t>isWorking</t>
  </si>
  <si>
    <t>profitRate</t>
  </si>
  <si>
    <t>excludeReport</t>
  </si>
  <si>
    <t>受注明細番号</t>
  </si>
  <si>
    <t>日本刀</t>
  </si>
  <si>
    <t>取扱商品名</t>
  </si>
  <si>
    <t>A01</t>
  </si>
  <si>
    <t>得意先のID</t>
  </si>
  <si>
    <t>徳川物産</t>
  </si>
  <si>
    <t>得意先の名称</t>
  </si>
  <si>
    <t>true</t>
  </si>
  <si>
    <t>稼働状況</t>
  </si>
  <si>
    <t>0.324</t>
  </si>
  <si>
    <t>帳票などに出力しない場合にtrue</t>
  </si>
  <si>
    <t>department</t>
  </si>
  <si>
    <t>productPIC</t>
  </si>
  <si>
    <t>売上計上部署</t>
  </si>
  <si>
    <t>saleseDepartment</t>
  </si>
  <si>
    <t>発送時間</t>
  </si>
  <si>
    <t>時間</t>
  </si>
  <si>
    <t>14:00</t>
  </si>
  <si>
    <t>出荷時間</t>
  </si>
  <si>
    <t>shippingTime</t>
  </si>
  <si>
    <t>取引有無</t>
  </si>
  <si>
    <t>取引先区分</t>
  </si>
  <si>
    <t>registrationDate</t>
  </si>
  <si>
    <t>isActiveCustomer</t>
  </si>
  <si>
    <t>取引中かどうか</t>
  </si>
  <si>
    <t>STANDARD</t>
  </si>
  <si>
    <t>取引先の区分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</si>
  <si>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</si>
  <si>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</si>
  <si>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</si>
  <si>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</si>
  <si>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</si>
  <si>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</si>
  <si>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</si>
  <si>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商品名称</t>
  </si>
  <si>
    <t>得意先</t>
  </si>
  <si>
    <t>NOKEY</t>
  </si>
  <si>
    <t>NOKEY</t>
    <phoneticPr fontId="1"/>
  </si>
  <si>
    <t>区分値</t>
  </si>
  <si>
    <t>A032</t>
  </si>
  <si>
    <t>承認日時</t>
  </si>
  <si>
    <t>社員番号</t>
  </si>
  <si>
    <t>date-time</t>
    <phoneticPr fontId="1"/>
  </si>
  <si>
    <t>approveDatetime</t>
  </si>
  <si>
    <t>emploeeNo</t>
  </si>
  <si>
    <t>日時</t>
  </si>
  <si>
    <t>2024-01-01T11:07:31</t>
  </si>
  <si>
    <t>承認した日時</t>
  </si>
  <si>
    <t>UUID</t>
  </si>
  <si>
    <t>ログID</t>
  </si>
  <si>
    <t>customerType</t>
  </si>
  <si>
    <t>logId</t>
  </si>
  <si>
    <t>0012</t>
  </si>
  <si>
    <t>ede66c43-9b9d-4222-93ed-5f11c96e08e2</t>
  </si>
  <si>
    <t>ログのID</t>
  </si>
  <si>
    <t>^([0-1]?[0-9]|2[0-3]):[0-5][0-9]$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</si>
</sst>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(必須)&quot;;&quot;(不可)&quot;;&quot;(任意)&quot;;"/>
    <numFmt numFmtId="177" formatCode="&quot;利用可能&quot;"/>
    <numFmt numFmtId="178" formatCode="0_;;;"/>
    <numFmt numFmtId="179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305496"/>
        <bgColor indexed="64"/>
      </patternFill>
    </fill>
  </fills>
  <borders count="16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/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2" fillId="5" borderId="12" xfId="0" applyFont="1" applyFill="1" applyBorder="1">
      <alignment vertical="center"/>
    </xf>
    <xf numFmtId="0" fontId="2" fillId="5" borderId="13" xfId="0" applyFont="1" applyFill="1" applyBorder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178" fontId="2" fillId="5" borderId="12" xfId="0" applyNumberFormat="1" applyFont="1" applyFill="1" applyBorder="1">
      <alignment vertical="center"/>
    </xf>
    <xf numFmtId="0" fontId="2" fillId="6" borderId="12" xfId="0" applyFont="1" applyFill="1" applyBorder="1">
      <alignment vertical="center"/>
    </xf>
    <xf numFmtId="0" fontId="7" fillId="7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178" fontId="2" fillId="5" borderId="13" xfId="0" applyNumberFormat="1" applyFont="1" applyFill="1" applyBorder="1">
      <alignment vertical="center"/>
    </xf>
    <xf numFmtId="0" fontId="7" fillId="2" borderId="9" xfId="0" applyFont="1" applyFill="1" applyBorder="1" applyAlignment="1">
      <alignment horizontal="center" vertical="center"/>
    </xf>
    <xf numFmtId="0" fontId="2" fillId="0" borderId="12" xfId="0" applyFont="1" applyFill="1" applyBorder="1">
      <alignment vertical="center"/>
    </xf>
    <xf numFmtId="0" fontId="2" fillId="0" borderId="13" xfId="0" applyFont="1" applyFill="1" applyBorder="1">
      <alignment vertical="center"/>
    </xf>
    <xf numFmtId="49" fontId="2" fillId="0" borderId="12" xfId="0" applyNumberFormat="1" applyFont="1" applyFill="1" applyBorder="1">
      <alignment vertical="center"/>
    </xf>
    <xf numFmtId="49" fontId="2" fillId="0" borderId="13" xfId="0" applyNumberFormat="1" applyFont="1" applyFill="1" applyBorder="1">
      <alignment vertical="center"/>
    </xf>
    <xf numFmtId="179" fontId="2" fillId="0" borderId="12" xfId="0" applyNumberFormat="1" applyFont="1" applyFill="1" applyBorder="1">
      <alignment vertical="center"/>
    </xf>
    <xf numFmtId="0" fontId="2" fillId="0" borderId="15" xfId="0" applyFont="1" applyFill="1" applyBorder="1">
      <alignment vertical="center"/>
    </xf>
    <xf numFmtId="0" fontId="2" fillId="5" borderId="15" xfId="0" applyFont="1" applyFill="1" applyBorder="1">
      <alignment vertical="center"/>
    </xf>
    <xf numFmtId="0" fontId="2" fillId="6" borderId="15" xfId="0" applyFont="1" applyFill="1" applyBorder="1">
      <alignment vertical="center"/>
    </xf>
    <xf numFmtId="49" fontId="2" fillId="0" borderId="15" xfId="0" applyNumberFormat="1" applyFont="1" applyFill="1" applyBorder="1">
      <alignment vertical="center"/>
    </xf>
    <xf numFmtId="178" fontId="2" fillId="5" borderId="15" xfId="0" applyNumberFormat="1" applyFont="1" applyFill="1" applyBorder="1">
      <alignment vertical="center"/>
    </xf>
  </cellXfs>
  <cellStyles count="1">
    <cellStyle name="標準" xfId="0" builtinId="0"/>
  </cellStyles>
  <dxfs count="22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O2019"/>
  <sheetViews>
    <sheetView showGridLines="0" tabSelected="1" zoomScaleNormal="100" workbookViewId="0">
      <pane ySplit="1" topLeftCell="A8" activePane="bottomLeft" state="frozen"/>
      <selection activeCell="E5" sqref="E5"/>
      <selection pane="bottomLeft" activeCell="A25" sqref="A25"/>
    </sheetView>
  </sheetViews>
  <sheetFormatPr defaultRowHeight="13" x14ac:dyDescent="0.55000000000000004"/>
  <cols>
    <col min="1" max="2" width="8.6640625" style="23"/>
    <col min="3" max="3" width="12" style="23" customWidth="1"/>
    <col min="4" max="9" width="8.6640625" style="23"/>
    <col min="10" max="10" width="11.6640625" style="23" customWidth="1"/>
    <col min="11" max="11" width="19.58203125" style="23" customWidth="1"/>
    <col min="12" max="16384" width="8.6640625" style="23"/>
  </cols>
  <sheetData>
    <row r="1" spans="1:15" ht="26" x14ac:dyDescent="0.55000000000000004">
      <c r="A1" s="34" t="s">
        <v>69</v>
      </c>
      <c r="B1" s="19" t="s">
        <v>70</v>
      </c>
      <c r="C1" s="19" t="s">
        <v>71</v>
      </c>
      <c r="D1" s="19" t="s">
        <v>0</v>
      </c>
      <c r="E1" s="20" t="s">
        <v>1</v>
      </c>
      <c r="F1" s="20" t="s">
        <v>2</v>
      </c>
      <c r="G1" s="20" t="s">
        <v>3</v>
      </c>
      <c r="H1" s="37" t="s">
        <v>4</v>
      </c>
      <c r="I1" s="37" t="s">
        <v>5</v>
      </c>
      <c r="J1" s="19" t="s">
        <v>72</v>
      </c>
      <c r="K1" s="20" t="s">
        <v>6</v>
      </c>
      <c r="L1" s="19" t="s">
        <v>61</v>
      </c>
      <c r="M1" s="19" t="s">
        <v>61</v>
      </c>
      <c r="N1" s="21" t="s">
        <v>121</v>
      </c>
      <c r="O1" s="22" t="s">
        <v>73</v>
      </c>
    </row>
    <row r="2" spans="1:15" ht="15" x14ac:dyDescent="0.55000000000000004">
      <c r="A2" s="38" t="s">
        <v>170</v>
      </c>
      <c r="B2" s="38" t="s">
        <v>174</v>
      </c>
      <c r="C2" s="26" t="str">
        <f t="shared" ref="C2:C33" si="0">camel2snake(B2)</f>
        <v>product_no</v>
      </c>
      <c r="D2" s="38" t="s">
        <v>219</v>
      </c>
      <c r="E2" s="33"/>
      <c r="F2" s="42">
        <v>9</v>
      </c>
      <c r="G2" s="42">
        <v>10</v>
      </c>
      <c r="H2" s="33"/>
      <c r="I2" s="33"/>
      <c r="J2" s="40" t="s">
        <v>88</v>
      </c>
      <c r="K2" s="38" t="s">
        <v>109</v>
      </c>
      <c r="L2" s="26" t="str">
        <f>IFERROR(VLOOKUP(D2,ドメインタイプDATA,6,FALSE)&amp;"","")</f>
        <v>string</v>
      </c>
      <c r="M2" s="26" t="str">
        <f>IFERROR(VLOOKUP(D2,ドメインタイプDATA,7,FALSE)&amp;"","")</f>
        <v/>
      </c>
      <c r="N2" s="32">
        <f ca="1">COUNTIF(派生元項目KEY,A2)</f>
        <v>0</v>
      </c>
      <c r="O2" s="32">
        <f ca="1">COUNTIF(区分値項目KEY,A2)</f>
        <v>0</v>
      </c>
    </row>
    <row r="3" spans="1:15" ht="15" x14ac:dyDescent="0.55000000000000004">
      <c r="A3" s="38" t="s">
        <v>84</v>
      </c>
      <c r="B3" s="38" t="s">
        <v>86</v>
      </c>
      <c r="C3" s="26" t="str">
        <f t="shared" si="0"/>
        <v>price</v>
      </c>
      <c r="D3" s="38" t="s">
        <v>89</v>
      </c>
      <c r="E3" s="33"/>
      <c r="F3" s="33"/>
      <c r="G3" s="33"/>
      <c r="H3" s="38">
        <v>0</v>
      </c>
      <c r="I3" s="38"/>
      <c r="J3" s="40" t="s">
        <v>92</v>
      </c>
      <c r="K3" s="38" t="s">
        <v>110</v>
      </c>
      <c r="L3" s="26" t="str">
        <f>IFERROR(VLOOKUP(D3,ドメインタイプDATA,6,FALSE)&amp;"","")</f>
        <v>integer</v>
      </c>
      <c r="M3" s="26" t="str">
        <f>IFERROR(VLOOKUP(D3,ドメインタイプDATA,7,FALSE)&amp;"","")</f>
        <v/>
      </c>
      <c r="N3" s="32">
        <f ca="1">COUNTIF(派生元項目KEY,A3)</f>
        <v>1</v>
      </c>
      <c r="O3" s="32">
        <f ca="1">COUNTIF(区分値項目KEY,A3)</f>
        <v>0</v>
      </c>
    </row>
    <row r="4" spans="1:15" ht="15" x14ac:dyDescent="0.55000000000000004">
      <c r="A4" s="38" t="s">
        <v>85</v>
      </c>
      <c r="B4" s="38" t="s">
        <v>87</v>
      </c>
      <c r="C4" s="26" t="str">
        <f t="shared" si="0"/>
        <v>up</v>
      </c>
      <c r="D4" s="38" t="s">
        <v>91</v>
      </c>
      <c r="E4" s="33"/>
      <c r="F4" s="33"/>
      <c r="G4" s="33"/>
      <c r="H4" s="38">
        <v>-1000</v>
      </c>
      <c r="I4" s="38">
        <v>1000</v>
      </c>
      <c r="J4" s="40" t="s">
        <v>93</v>
      </c>
      <c r="K4" s="38" t="s">
        <v>111</v>
      </c>
      <c r="L4" s="26" t="str">
        <f>IFERROR(VLOOKUP(D4,ドメインタイプDATA,6,FALSE)&amp;"","")</f>
        <v>number</v>
      </c>
      <c r="M4" s="26" t="str">
        <f>IFERROR(VLOOKUP(D4,ドメインタイプDATA,7,FALSE)&amp;"","")</f>
        <v/>
      </c>
      <c r="N4" s="32">
        <f ca="1">COUNTIF(派生元項目KEY,A4)</f>
        <v>0</v>
      </c>
      <c r="O4" s="32">
        <f ca="1">COUNTIF(区分値項目KEY,A4)</f>
        <v>0</v>
      </c>
    </row>
    <row r="5" spans="1:15" ht="15" x14ac:dyDescent="0.55000000000000004">
      <c r="A5" s="38" t="s">
        <v>94</v>
      </c>
      <c r="B5" s="38" t="s">
        <v>205</v>
      </c>
      <c r="C5" s="26" t="str">
        <f t="shared" si="0"/>
        <v>registration_date</v>
      </c>
      <c r="D5" s="38" t="s">
        <v>90</v>
      </c>
      <c r="E5" s="33"/>
      <c r="F5" s="33"/>
      <c r="G5" s="33"/>
      <c r="H5" s="33"/>
      <c r="I5" s="33"/>
      <c r="J5" s="40" t="s">
        <v>95</v>
      </c>
      <c r="K5" s="38" t="s">
        <v>94</v>
      </c>
      <c r="L5" s="26" t="str">
        <f>IFERROR(VLOOKUP(D5,ドメインタイプDATA,6,FALSE)&amp;"","")</f>
        <v>string</v>
      </c>
      <c r="M5" s="26" t="str">
        <f>IFERROR(VLOOKUP(D5,ドメインタイプDATA,7,FALSE)&amp;"","")</f>
        <v>date</v>
      </c>
      <c r="N5" s="32">
        <f ca="1">COUNTIF(派生元項目KEY,A5)</f>
        <v>0</v>
      </c>
      <c r="O5" s="32">
        <f ca="1">COUNTIF(区分値項目KEY,A5)</f>
        <v>0</v>
      </c>
    </row>
    <row r="6" spans="1:15" ht="15" x14ac:dyDescent="0.55000000000000004">
      <c r="A6" s="38" t="s">
        <v>98</v>
      </c>
      <c r="B6" s="38" t="s">
        <v>99</v>
      </c>
      <c r="C6" s="26" t="str">
        <f t="shared" si="0"/>
        <v>product_kbn</v>
      </c>
      <c r="D6" s="38" t="s">
        <v>221</v>
      </c>
      <c r="E6" s="33"/>
      <c r="F6" s="42"/>
      <c r="G6" s="38"/>
      <c r="H6" s="33"/>
      <c r="I6" s="33"/>
      <c r="J6" s="40" t="s">
        <v>128</v>
      </c>
      <c r="K6" s="38" t="s">
        <v>100</v>
      </c>
      <c r="L6" s="26" t="str">
        <f>IFERROR(VLOOKUP(D6,ドメインタイプDATA,6,FALSE)&amp;"","")</f>
        <v>string</v>
      </c>
      <c r="M6" s="26" t="str">
        <f>IFERROR(VLOOKUP(D6,ドメインタイプDATA,7,FALSE)&amp;"","")</f>
        <v/>
      </c>
      <c r="N6" s="32">
        <f ca="1">COUNTIF(派生元項目KEY,A6)</f>
        <v>0</v>
      </c>
      <c r="O6" s="32">
        <f ca="1">COUNTIF(区分値項目KEY,A6)</f>
        <v>4</v>
      </c>
    </row>
    <row r="7" spans="1:15" ht="15" x14ac:dyDescent="0.55000000000000004">
      <c r="A7" s="38" t="s">
        <v>113</v>
      </c>
      <c r="B7" s="38" t="s">
        <v>115</v>
      </c>
      <c r="C7" s="26" t="str">
        <f t="shared" si="0"/>
        <v>comment</v>
      </c>
      <c r="D7" s="38" t="s">
        <v>114</v>
      </c>
      <c r="E7" s="40"/>
      <c r="F7" s="42">
        <v>10</v>
      </c>
      <c r="G7" s="33"/>
      <c r="H7" s="33"/>
      <c r="I7" s="33"/>
      <c r="J7" s="40" t="s">
        <v>116</v>
      </c>
      <c r="K7" s="38" t="s">
        <v>113</v>
      </c>
      <c r="L7" s="26" t="str">
        <f>IFERROR(VLOOKUP(D7,ドメインタイプDATA,6,FALSE)&amp;"","")</f>
        <v>string</v>
      </c>
      <c r="M7" s="26" t="str">
        <f>IFERROR(VLOOKUP(D7,ドメインタイプDATA,7,FALSE)&amp;"","")</f>
        <v/>
      </c>
      <c r="N7" s="32">
        <f ca="1">COUNTIF(派生元項目KEY,A7)</f>
        <v>0</v>
      </c>
      <c r="O7" s="32">
        <f ca="1">COUNTIF(区分値項目KEY,A7)</f>
        <v>0</v>
      </c>
    </row>
    <row r="8" spans="1:15" ht="15" x14ac:dyDescent="0.55000000000000004">
      <c r="A8" s="38" t="s">
        <v>117</v>
      </c>
      <c r="B8" s="38" t="s">
        <v>123</v>
      </c>
      <c r="C8" s="26" t="str">
        <f t="shared" si="0"/>
        <v>can_update</v>
      </c>
      <c r="D8" s="38" t="s">
        <v>118</v>
      </c>
      <c r="E8" s="33"/>
      <c r="F8" s="33"/>
      <c r="G8" s="33"/>
      <c r="H8" s="33"/>
      <c r="I8" s="33"/>
      <c r="J8" s="40" t="s">
        <v>119</v>
      </c>
      <c r="K8" s="38" t="s">
        <v>120</v>
      </c>
      <c r="L8" s="26" t="str">
        <f>IFERROR(VLOOKUP(D8,ドメインタイプDATA,6,FALSE)&amp;"","")</f>
        <v>boolean</v>
      </c>
      <c r="M8" s="26" t="str">
        <f>IFERROR(VLOOKUP(D8,ドメインタイプDATA,7,FALSE)&amp;"","")</f>
        <v/>
      </c>
      <c r="N8" s="32">
        <f ca="1">COUNTIF(派生元項目KEY,A8)</f>
        <v>0</v>
      </c>
      <c r="O8" s="32">
        <f ca="1">COUNTIF(区分値項目KEY,A8)</f>
        <v>0</v>
      </c>
    </row>
    <row r="9" spans="1:15" ht="15" x14ac:dyDescent="0.55000000000000004">
      <c r="A9" s="38" t="s">
        <v>129</v>
      </c>
      <c r="B9" s="38" t="s">
        <v>194</v>
      </c>
      <c r="C9" s="26" t="str">
        <f t="shared" si="0"/>
        <v>department</v>
      </c>
      <c r="D9" s="38" t="s">
        <v>221</v>
      </c>
      <c r="E9" s="33"/>
      <c r="F9" s="42"/>
      <c r="G9" s="38"/>
      <c r="H9" s="33"/>
      <c r="I9" s="33"/>
      <c r="J9" s="40" t="s">
        <v>156</v>
      </c>
      <c r="K9" s="38" t="s">
        <v>129</v>
      </c>
      <c r="L9" s="26" t="str">
        <f>IFERROR(VLOOKUP(D9,ドメインタイプDATA,6,FALSE)&amp;"","")</f>
        <v>string</v>
      </c>
      <c r="M9" s="26" t="str">
        <f>IFERROR(VLOOKUP(D9,ドメインタイプDATA,7,FALSE)&amp;"","")</f>
        <v/>
      </c>
      <c r="N9" s="32">
        <f ca="1">COUNTIF(派生元項目KEY,A9)</f>
        <v>1</v>
      </c>
      <c r="O9" s="32">
        <f ca="1">COUNTIF(区分値項目KEY,A9)</f>
        <v>5</v>
      </c>
    </row>
    <row r="10" spans="1:15" ht="15" x14ac:dyDescent="0.55000000000000004">
      <c r="A10" s="38" t="s">
        <v>130</v>
      </c>
      <c r="B10" s="38" t="s">
        <v>137</v>
      </c>
      <c r="C10" s="26" t="str">
        <f t="shared" si="0"/>
        <v>order_date</v>
      </c>
      <c r="D10" s="38" t="s">
        <v>90</v>
      </c>
      <c r="E10" s="33"/>
      <c r="F10" s="33"/>
      <c r="G10" s="33"/>
      <c r="H10" s="33"/>
      <c r="I10" s="33"/>
      <c r="J10" s="40" t="s">
        <v>95</v>
      </c>
      <c r="K10" s="38" t="s">
        <v>130</v>
      </c>
      <c r="L10" s="26" t="str">
        <f>IFERROR(VLOOKUP(D10,ドメインタイプDATA,6,FALSE)&amp;"","")</f>
        <v>string</v>
      </c>
      <c r="M10" s="26" t="str">
        <f>IFERROR(VLOOKUP(D10,ドメインタイプDATA,7,FALSE)&amp;"","")</f>
        <v>date</v>
      </c>
      <c r="N10" s="32">
        <f ca="1">COUNTIF(派生元項目KEY,A10)</f>
        <v>0</v>
      </c>
      <c r="O10" s="32">
        <f ca="1">COUNTIF(区分値項目KEY,A10)</f>
        <v>0</v>
      </c>
    </row>
    <row r="11" spans="1:15" ht="15" x14ac:dyDescent="0.55000000000000004">
      <c r="A11" s="38" t="s">
        <v>131</v>
      </c>
      <c r="B11" s="38" t="s">
        <v>138</v>
      </c>
      <c r="C11" s="26" t="str">
        <f t="shared" si="0"/>
        <v>quantity</v>
      </c>
      <c r="D11" s="38" t="s">
        <v>89</v>
      </c>
      <c r="E11" s="33"/>
      <c r="F11" s="33"/>
      <c r="G11" s="33"/>
      <c r="H11" s="38">
        <v>0</v>
      </c>
      <c r="I11" s="38">
        <v>99999</v>
      </c>
      <c r="J11" s="40" t="s">
        <v>141</v>
      </c>
      <c r="K11" s="38" t="s">
        <v>131</v>
      </c>
      <c r="L11" s="26" t="str">
        <f>IFERROR(VLOOKUP(D11,ドメインタイプDATA,6,FALSE)&amp;"","")</f>
        <v>integer</v>
      </c>
      <c r="M11" s="26" t="str">
        <f>IFERROR(VLOOKUP(D11,ドメインタイプDATA,7,FALSE)&amp;"","")</f>
        <v/>
      </c>
      <c r="N11" s="32">
        <f ca="1">COUNTIF(派生元項目KEY,A11)</f>
        <v>0</v>
      </c>
      <c r="O11" s="32">
        <f ca="1">COUNTIF(区分値項目KEY,A11)</f>
        <v>0</v>
      </c>
    </row>
    <row r="12" spans="1:15" ht="15" x14ac:dyDescent="0.55000000000000004">
      <c r="A12" s="38" t="s">
        <v>171</v>
      </c>
      <c r="B12" s="38" t="s">
        <v>175</v>
      </c>
      <c r="C12" s="26" t="str">
        <f t="shared" si="0"/>
        <v>received_order_no</v>
      </c>
      <c r="D12" s="38" t="s">
        <v>219</v>
      </c>
      <c r="E12" s="33"/>
      <c r="F12" s="42">
        <v>10</v>
      </c>
      <c r="G12" s="42">
        <v>10</v>
      </c>
      <c r="H12" s="33"/>
      <c r="I12" s="33"/>
      <c r="J12" s="40" t="s">
        <v>142</v>
      </c>
      <c r="K12" s="38" t="s">
        <v>132</v>
      </c>
      <c r="L12" s="26" t="str">
        <f>IFERROR(VLOOKUP(D12,ドメインタイプDATA,6,FALSE)&amp;"","")</f>
        <v>string</v>
      </c>
      <c r="M12" s="26" t="str">
        <f>IFERROR(VLOOKUP(D12,ドメインタイプDATA,7,FALSE)&amp;"","")</f>
        <v/>
      </c>
      <c r="N12" s="32">
        <f ca="1">COUNTIF(派生元項目KEY,A12)</f>
        <v>0</v>
      </c>
      <c r="O12" s="32">
        <f ca="1">COUNTIF(区分値項目KEY,A12)</f>
        <v>0</v>
      </c>
    </row>
    <row r="13" spans="1:15" ht="15" x14ac:dyDescent="0.55000000000000004">
      <c r="A13" s="38" t="s">
        <v>133</v>
      </c>
      <c r="B13" s="38" t="s">
        <v>139</v>
      </c>
      <c r="C13" s="26" t="str">
        <f t="shared" si="0"/>
        <v>order_detail_no</v>
      </c>
      <c r="D13" s="38" t="s">
        <v>134</v>
      </c>
      <c r="E13" s="33"/>
      <c r="F13" s="33"/>
      <c r="G13" s="33"/>
      <c r="H13" s="33"/>
      <c r="I13" s="33"/>
      <c r="J13" s="40" t="s">
        <v>143</v>
      </c>
      <c r="K13" s="38" t="s">
        <v>183</v>
      </c>
      <c r="L13" s="26" t="str">
        <f>IFERROR(VLOOKUP(D13,ドメインタイプDATA,6,FALSE)&amp;"","")</f>
        <v>integer</v>
      </c>
      <c r="M13" s="26" t="str">
        <f>IFERROR(VLOOKUP(D13,ドメインタイプDATA,7,FALSE)&amp;"","")</f>
        <v/>
      </c>
      <c r="N13" s="32">
        <f ca="1">COUNTIF(派生元項目KEY,A13)</f>
        <v>0</v>
      </c>
      <c r="O13" s="32">
        <f ca="1">COUNTIF(区分値項目KEY,A13)</f>
        <v>0</v>
      </c>
    </row>
    <row r="14" spans="1:15" ht="15" x14ac:dyDescent="0.55000000000000004">
      <c r="A14" s="38" t="s">
        <v>135</v>
      </c>
      <c r="B14" s="38" t="s">
        <v>176</v>
      </c>
      <c r="C14" s="26" t="str">
        <f t="shared" si="0"/>
        <v>person_in_charge</v>
      </c>
      <c r="D14" s="38" t="s">
        <v>144</v>
      </c>
      <c r="E14" s="40"/>
      <c r="F14" s="42"/>
      <c r="G14" s="42">
        <v>30</v>
      </c>
      <c r="H14" s="33"/>
      <c r="I14" s="33"/>
      <c r="J14" s="40" t="s">
        <v>145</v>
      </c>
      <c r="K14" s="38" t="s">
        <v>146</v>
      </c>
      <c r="L14" s="26" t="str">
        <f>IFERROR(VLOOKUP(D14,ドメインタイプDATA,6,FALSE)&amp;"","")</f>
        <v>string</v>
      </c>
      <c r="M14" s="26" t="str">
        <f>IFERROR(VLOOKUP(D14,ドメインタイプDATA,7,FALSE)&amp;"","")</f>
        <v/>
      </c>
      <c r="N14" s="32">
        <f ca="1">COUNTIF(派生元項目KEY,A14)</f>
        <v>0</v>
      </c>
      <c r="O14" s="32">
        <f ca="1">COUNTIF(区分値項目KEY,A14)</f>
        <v>0</v>
      </c>
    </row>
    <row r="15" spans="1:15" ht="15" x14ac:dyDescent="0.55000000000000004">
      <c r="A15" s="38" t="s">
        <v>136</v>
      </c>
      <c r="B15" s="38" t="s">
        <v>140</v>
      </c>
      <c r="C15" s="26" t="str">
        <f t="shared" si="0"/>
        <v>user_id</v>
      </c>
      <c r="D15" s="38" t="s">
        <v>219</v>
      </c>
      <c r="E15" s="33"/>
      <c r="F15" s="42">
        <v>4</v>
      </c>
      <c r="G15" s="42">
        <v>4</v>
      </c>
      <c r="H15" s="33"/>
      <c r="I15" s="33"/>
      <c r="J15" s="40" t="s">
        <v>222</v>
      </c>
      <c r="K15" s="38" t="s">
        <v>147</v>
      </c>
      <c r="L15" s="26" t="str">
        <f>IFERROR(VLOOKUP(D15,ドメインタイプDATA,6,FALSE)&amp;"","")</f>
        <v>string</v>
      </c>
      <c r="M15" s="26" t="str">
        <f>IFERROR(VLOOKUP(D15,ドメインタイプDATA,7,FALSE)&amp;"","")</f>
        <v/>
      </c>
      <c r="N15" s="32">
        <f ca="1">COUNTIF(派生元項目KEY,A15)</f>
        <v>2</v>
      </c>
      <c r="O15" s="32">
        <f ca="1">COUNTIF(区分値項目KEY,A15)</f>
        <v>0</v>
      </c>
    </row>
    <row r="16" spans="1:15" ht="15" x14ac:dyDescent="0.55000000000000004">
      <c r="A16" s="38" t="s">
        <v>217</v>
      </c>
      <c r="B16" s="38" t="s">
        <v>177</v>
      </c>
      <c r="C16" s="26" t="str">
        <f t="shared" si="0"/>
        <v>product_name</v>
      </c>
      <c r="D16" s="38" t="s">
        <v>144</v>
      </c>
      <c r="E16" s="40"/>
      <c r="F16" s="42"/>
      <c r="G16" s="42">
        <v>100</v>
      </c>
      <c r="H16" s="33"/>
      <c r="I16" s="33"/>
      <c r="J16" s="40" t="s">
        <v>184</v>
      </c>
      <c r="K16" s="38" t="s">
        <v>185</v>
      </c>
      <c r="L16" s="26" t="str">
        <f>IFERROR(VLOOKUP(D16,ドメインタイプDATA,6,FALSE)&amp;"","")</f>
        <v>string</v>
      </c>
      <c r="M16" s="26" t="str">
        <f>IFERROR(VLOOKUP(D16,ドメインタイプDATA,7,FALSE)&amp;"","")</f>
        <v/>
      </c>
      <c r="N16" s="32">
        <f ca="1">COUNTIF(派生元項目KEY,A16)</f>
        <v>0</v>
      </c>
      <c r="O16" s="32">
        <f ca="1">COUNTIF(区分値項目KEY,A16)</f>
        <v>0</v>
      </c>
    </row>
    <row r="17" spans="1:15" ht="15" x14ac:dyDescent="0.55000000000000004">
      <c r="A17" s="38" t="s">
        <v>168</v>
      </c>
      <c r="B17" s="38" t="s">
        <v>178</v>
      </c>
      <c r="C17" s="26" t="str">
        <f t="shared" si="0"/>
        <v>customer_id</v>
      </c>
      <c r="D17" s="38" t="s">
        <v>219</v>
      </c>
      <c r="E17" s="33"/>
      <c r="F17" s="42">
        <v>3</v>
      </c>
      <c r="G17" s="42">
        <v>3</v>
      </c>
      <c r="H17" s="33"/>
      <c r="I17" s="33"/>
      <c r="J17" s="40" t="s">
        <v>186</v>
      </c>
      <c r="K17" s="38" t="s">
        <v>187</v>
      </c>
      <c r="L17" s="26" t="str">
        <f>IFERROR(VLOOKUP(D17,ドメインタイプDATA,6,FALSE)&amp;"","")</f>
        <v>string</v>
      </c>
      <c r="M17" s="26" t="str">
        <f>IFERROR(VLOOKUP(D17,ドメインタイプDATA,7,FALSE)&amp;"","")</f>
        <v/>
      </c>
      <c r="N17" s="32">
        <f ca="1">COUNTIF(派生元項目KEY,A17)</f>
        <v>0</v>
      </c>
      <c r="O17" s="32">
        <f ca="1">COUNTIF(区分値項目KEY,A17)</f>
        <v>0</v>
      </c>
    </row>
    <row r="18" spans="1:15" ht="15" x14ac:dyDescent="0.55000000000000004">
      <c r="A18" s="38" t="s">
        <v>218</v>
      </c>
      <c r="B18" s="38" t="s">
        <v>179</v>
      </c>
      <c r="C18" s="26" t="str">
        <f t="shared" si="0"/>
        <v>customer_name</v>
      </c>
      <c r="D18" s="38" t="s">
        <v>144</v>
      </c>
      <c r="E18" s="40"/>
      <c r="F18" s="42"/>
      <c r="G18" s="42">
        <v>100</v>
      </c>
      <c r="H18" s="33"/>
      <c r="I18" s="33"/>
      <c r="J18" s="40" t="s">
        <v>188</v>
      </c>
      <c r="K18" s="38" t="s">
        <v>189</v>
      </c>
      <c r="L18" s="26" t="str">
        <f>IFERROR(VLOOKUP(D18,ドメインタイプDATA,6,FALSE)&amp;"","")</f>
        <v>string</v>
      </c>
      <c r="M18" s="26" t="str">
        <f>IFERROR(VLOOKUP(D18,ドメインタイプDATA,7,FALSE)&amp;"","")</f>
        <v/>
      </c>
      <c r="N18" s="32">
        <f ca="1">COUNTIF(派生元項目KEY,A18)</f>
        <v>0</v>
      </c>
      <c r="O18" s="32">
        <f ca="1">COUNTIF(区分値項目KEY,A18)</f>
        <v>0</v>
      </c>
    </row>
    <row r="19" spans="1:15" ht="15" x14ac:dyDescent="0.55000000000000004">
      <c r="A19" s="38" t="s">
        <v>169</v>
      </c>
      <c r="B19" s="38" t="s">
        <v>180</v>
      </c>
      <c r="C19" s="26" t="str">
        <f t="shared" si="0"/>
        <v>is_working</v>
      </c>
      <c r="D19" s="38" t="s">
        <v>118</v>
      </c>
      <c r="E19" s="33"/>
      <c r="F19" s="33"/>
      <c r="G19" s="33"/>
      <c r="H19" s="33"/>
      <c r="I19" s="33"/>
      <c r="J19" s="40" t="s">
        <v>190</v>
      </c>
      <c r="K19" s="38" t="s">
        <v>191</v>
      </c>
      <c r="L19" s="26" t="str">
        <f>IFERROR(VLOOKUP(D19,ドメインタイプDATA,6,FALSE)&amp;"","")</f>
        <v>boolean</v>
      </c>
      <c r="M19" s="26" t="str">
        <f>IFERROR(VLOOKUP(D19,ドメインタイプDATA,7,FALSE)&amp;"","")</f>
        <v/>
      </c>
      <c r="N19" s="32">
        <f ca="1">COUNTIF(派生元項目KEY,A19)</f>
        <v>0</v>
      </c>
      <c r="O19" s="32">
        <f ca="1">COUNTIF(区分値項目KEY,A19)</f>
        <v>0</v>
      </c>
    </row>
    <row r="20" spans="1:15" ht="15" x14ac:dyDescent="0.55000000000000004">
      <c r="A20" s="38" t="s">
        <v>172</v>
      </c>
      <c r="B20" s="38" t="s">
        <v>181</v>
      </c>
      <c r="C20" s="26" t="str">
        <f t="shared" si="0"/>
        <v>profit_rate</v>
      </c>
      <c r="D20" s="38" t="s">
        <v>91</v>
      </c>
      <c r="E20" s="33"/>
      <c r="F20" s="33"/>
      <c r="G20" s="33"/>
      <c r="H20" s="38"/>
      <c r="I20" s="38">
        <v>10</v>
      </c>
      <c r="J20" s="40" t="s">
        <v>192</v>
      </c>
      <c r="K20" s="38" t="s">
        <v>172</v>
      </c>
      <c r="L20" s="26" t="str">
        <f>IFERROR(VLOOKUP(D20,ドメインタイプDATA,6,FALSE)&amp;"","")</f>
        <v>number</v>
      </c>
      <c r="M20" s="26" t="str">
        <f>IFERROR(VLOOKUP(D20,ドメインタイプDATA,7,FALSE)&amp;"","")</f>
        <v/>
      </c>
      <c r="N20" s="32">
        <f ca="1">COUNTIF(派生元項目KEY,A20)</f>
        <v>0</v>
      </c>
      <c r="O20" s="32">
        <f ca="1">COUNTIF(区分値項目KEY,A20)</f>
        <v>0</v>
      </c>
    </row>
    <row r="21" spans="1:15" ht="15" x14ac:dyDescent="0.55000000000000004">
      <c r="A21" s="38" t="s">
        <v>173</v>
      </c>
      <c r="B21" s="38" t="s">
        <v>182</v>
      </c>
      <c r="C21" s="26" t="str">
        <f t="shared" si="0"/>
        <v>exclude_report</v>
      </c>
      <c r="D21" s="38" t="s">
        <v>118</v>
      </c>
      <c r="E21" s="33"/>
      <c r="F21" s="33"/>
      <c r="G21" s="33"/>
      <c r="H21" s="33"/>
      <c r="I21" s="33"/>
      <c r="J21" s="40" t="s">
        <v>190</v>
      </c>
      <c r="K21" s="38" t="s">
        <v>193</v>
      </c>
      <c r="L21" s="26" t="str">
        <f>IFERROR(VLOOKUP(D21,ドメインタイプDATA,6,FALSE)&amp;"","")</f>
        <v>boolean</v>
      </c>
      <c r="M21" s="26" t="str">
        <f>IFERROR(VLOOKUP(D21,ドメインタイプDATA,7,FALSE)&amp;"","")</f>
        <v/>
      </c>
      <c r="N21" s="32">
        <f ca="1">COUNTIF(派生元項目KEY,A21)</f>
        <v>0</v>
      </c>
      <c r="O21" s="32">
        <f ca="1">COUNTIF(区分値項目KEY,A21)</f>
        <v>0</v>
      </c>
    </row>
    <row r="22" spans="1:15" ht="15" x14ac:dyDescent="0.55000000000000004">
      <c r="A22" s="38" t="s">
        <v>198</v>
      </c>
      <c r="B22" s="38" t="s">
        <v>202</v>
      </c>
      <c r="C22" s="26" t="str">
        <f t="shared" si="0"/>
        <v>shipping_time</v>
      </c>
      <c r="D22" s="38" t="s">
        <v>199</v>
      </c>
      <c r="E22" s="40" t="s">
        <v>238</v>
      </c>
      <c r="F22" s="33"/>
      <c r="G22" s="33"/>
      <c r="H22" s="33"/>
      <c r="I22" s="33"/>
      <c r="J22" s="40" t="s">
        <v>200</v>
      </c>
      <c r="K22" s="38" t="s">
        <v>201</v>
      </c>
      <c r="L22" s="26" t="str">
        <f>IFERROR(VLOOKUP(D22,ドメインタイプDATA,6,FALSE)&amp;"","")</f>
        <v>string</v>
      </c>
      <c r="M22" s="26" t="str">
        <f>IFERROR(VLOOKUP(D22,ドメインタイプDATA,7,FALSE)&amp;"","")</f>
        <v/>
      </c>
      <c r="N22" s="32">
        <f ca="1">COUNTIF(派生元項目KEY,A22)</f>
        <v>0</v>
      </c>
      <c r="O22" s="32">
        <f ca="1">COUNTIF(区分値項目KEY,A22)</f>
        <v>0</v>
      </c>
    </row>
    <row r="23" spans="1:15" ht="15" x14ac:dyDescent="0.55000000000000004">
      <c r="A23" s="38" t="s">
        <v>203</v>
      </c>
      <c r="B23" s="38" t="s">
        <v>206</v>
      </c>
      <c r="C23" s="26" t="str">
        <f t="shared" si="0"/>
        <v>is_active_customer</v>
      </c>
      <c r="D23" s="38" t="s">
        <v>118</v>
      </c>
      <c r="E23" s="33"/>
      <c r="F23" s="33"/>
      <c r="G23" s="33"/>
      <c r="H23" s="33"/>
      <c r="I23" s="33"/>
      <c r="J23" s="40" t="s">
        <v>190</v>
      </c>
      <c r="K23" s="38" t="s">
        <v>207</v>
      </c>
      <c r="L23" s="26" t="str">
        <f>IFERROR(VLOOKUP(D23,ドメインタイプDATA,6,FALSE)&amp;"","")</f>
        <v>boolean</v>
      </c>
      <c r="M23" s="26" t="str">
        <f>IFERROR(VLOOKUP(D23,ドメインタイプDATA,7,FALSE)&amp;"","")</f>
        <v/>
      </c>
      <c r="N23" s="32">
        <f ca="1">COUNTIF(派生元項目KEY,A23)</f>
        <v>0</v>
      </c>
      <c r="O23" s="32">
        <f ca="1">COUNTIF(区分値項目KEY,A23)</f>
        <v>0</v>
      </c>
    </row>
    <row r="24" spans="1:15" ht="15" x14ac:dyDescent="0.55000000000000004">
      <c r="A24" s="38" t="s">
        <v>204</v>
      </c>
      <c r="B24" s="38" t="s">
        <v>233</v>
      </c>
      <c r="C24" s="26" t="str">
        <f t="shared" si="0"/>
        <v>customer_type</v>
      </c>
      <c r="D24" s="38" t="s">
        <v>221</v>
      </c>
      <c r="E24" s="33"/>
      <c r="F24" s="42"/>
      <c r="G24" s="38"/>
      <c r="H24" s="33"/>
      <c r="I24" s="33"/>
      <c r="J24" s="40" t="s">
        <v>208</v>
      </c>
      <c r="K24" s="38" t="s">
        <v>209</v>
      </c>
      <c r="L24" s="26" t="str">
        <f>IFERROR(VLOOKUP(D24,ドメインタイプDATA,6,FALSE)&amp;"","")</f>
        <v>string</v>
      </c>
      <c r="M24" s="26" t="str">
        <f>IFERROR(VLOOKUP(D24,ドメインタイプDATA,7,FALSE)&amp;"","")</f>
        <v/>
      </c>
      <c r="N24" s="32">
        <f ca="1">COUNTIF(派生元項目KEY,A24)</f>
        <v>0</v>
      </c>
      <c r="O24" s="32">
        <f ca="1">COUNTIF(区分値項目KEY,A24)</f>
        <v>4</v>
      </c>
    </row>
    <row r="25" spans="1:15" ht="15" x14ac:dyDescent="0.55000000000000004">
      <c r="A25" s="38" t="s">
        <v>223</v>
      </c>
      <c r="B25" s="38" t="s">
        <v>226</v>
      </c>
      <c r="C25" s="26" t="str">
        <f t="shared" si="0"/>
        <v>approve_datetime</v>
      </c>
      <c r="D25" s="38" t="s">
        <v>228</v>
      </c>
      <c r="E25" s="33"/>
      <c r="F25" s="33"/>
      <c r="G25" s="33"/>
      <c r="H25" s="33"/>
      <c r="I25" s="33"/>
      <c r="J25" s="40" t="s">
        <v>229</v>
      </c>
      <c r="K25" s="38" t="s">
        <v>230</v>
      </c>
      <c r="L25" s="26" t="str">
        <f>IFERROR(VLOOKUP(D25,ドメインタイプDATA,6,FALSE)&amp;"","")</f>
        <v>string</v>
      </c>
      <c r="M25" s="26" t="str">
        <f>IFERROR(VLOOKUP(D25,ドメインタイプDATA,7,FALSE)&amp;"","")</f>
        <v>date-time</v>
      </c>
      <c r="N25" s="32">
        <f ca="1">COUNTIF(派生元項目KEY,A25)</f>
        <v>0</v>
      </c>
      <c r="O25" s="32">
        <f ca="1">COUNTIF(区分値項目KEY,A25)</f>
        <v>0</v>
      </c>
    </row>
    <row r="26" spans="1:15" ht="15" x14ac:dyDescent="0.55000000000000004">
      <c r="A26" s="38" t="s">
        <v>224</v>
      </c>
      <c r="B26" s="38" t="s">
        <v>227</v>
      </c>
      <c r="C26" s="26" t="str">
        <f t="shared" si="0"/>
        <v>emploee_no</v>
      </c>
      <c r="D26" s="38" t="s">
        <v>219</v>
      </c>
      <c r="E26" s="33"/>
      <c r="F26" s="42">
        <v>4</v>
      </c>
      <c r="G26" s="42">
        <v>4</v>
      </c>
      <c r="H26" s="33"/>
      <c r="I26" s="33"/>
      <c r="J26" s="40" t="s">
        <v>235</v>
      </c>
      <c r="K26" s="38" t="s">
        <v>224</v>
      </c>
      <c r="L26" s="26" t="str">
        <f>IFERROR(VLOOKUP(D26,ドメインタイプDATA,6,FALSE)&amp;"","")</f>
        <v>string</v>
      </c>
      <c r="M26" s="26" t="str">
        <f>IFERROR(VLOOKUP(D26,ドメインタイプDATA,7,FALSE)&amp;"","")</f>
        <v/>
      </c>
      <c r="N26" s="32">
        <f ca="1">COUNTIF(派生元項目KEY,A26)</f>
        <v>0</v>
      </c>
      <c r="O26" s="32">
        <f ca="1">COUNTIF(区分値項目KEY,A26)</f>
        <v>0</v>
      </c>
    </row>
    <row r="27" spans="1:15" ht="15" x14ac:dyDescent="0.55000000000000004">
      <c r="A27" s="43" t="s">
        <v>232</v>
      </c>
      <c r="B27" s="43" t="s">
        <v>234</v>
      </c>
      <c r="C27" s="44" t="str">
        <f t="shared" si="0"/>
        <v>log_id</v>
      </c>
      <c r="D27" s="43" t="s">
        <v>231</v>
      </c>
      <c r="E27" s="45"/>
      <c r="F27" s="45"/>
      <c r="G27" s="45"/>
      <c r="H27" s="45"/>
      <c r="I27" s="45"/>
      <c r="J27" s="46" t="s">
        <v>236</v>
      </c>
      <c r="K27" s="43" t="s">
        <v>237</v>
      </c>
      <c r="L27" s="44" t="str">
        <f>IFERROR(VLOOKUP(D27,ドメインタイプDATA,6,FALSE)&amp;"","")</f>
        <v>string</v>
      </c>
      <c r="M27" s="44" t="str">
        <f>IFERROR(VLOOKUP(D27,ドメインタイプDATA,7,FALSE)&amp;"","")</f>
        <v>uuid</v>
      </c>
      <c r="N27" s="47">
        <f ca="1">COUNTIF(派生元項目KEY,A27)</f>
        <v>0</v>
      </c>
      <c r="O27" s="47">
        <f ca="1">COUNTIF(区分値項目KEY,A27)</f>
        <v>0</v>
      </c>
    </row>
    <row r="28" spans="1:15" ht="15" x14ac:dyDescent="0.55000000000000004">
      <c r="A28" s="38"/>
      <c r="B28" s="38"/>
      <c r="C28" s="26" t="str">
        <f t="shared" ref="C28:C57" si="1">camel2snake(B28)</f>
        <v/>
      </c>
      <c r="D28" s="38"/>
      <c r="E28" s="38"/>
      <c r="F28" s="38"/>
      <c r="G28" s="38"/>
      <c r="H28" s="38"/>
      <c r="I28" s="38"/>
      <c r="J28" s="40"/>
      <c r="K28" s="38"/>
      <c r="L28" s="26" t="str">
        <f>IFERROR(VLOOKUP(D28,ドメインタイプDATA,6,FALSE)&amp;"","")</f>
        <v/>
      </c>
      <c r="M28" s="26" t="str">
        <f>IFERROR(VLOOKUP(D28,ドメインタイプDATA,7,FALSE)&amp;"","")</f>
        <v/>
      </c>
      <c r="N28" s="32">
        <f ca="1">COUNTIF(派生元項目KEY,A28)</f>
        <v>0</v>
      </c>
      <c r="O28" s="32">
        <f ca="1">COUNTIF(区分値項目KEY,A28)</f>
        <v>0</v>
      </c>
    </row>
    <row r="29" spans="1:15" ht="15" x14ac:dyDescent="0.55000000000000004">
      <c r="A29" s="38"/>
      <c r="B29" s="38"/>
      <c r="C29" s="26" t="str">
        <f t="shared" si="1"/>
        <v/>
      </c>
      <c r="D29" s="38"/>
      <c r="E29" s="38"/>
      <c r="F29" s="38"/>
      <c r="G29" s="38"/>
      <c r="H29" s="38"/>
      <c r="I29" s="38"/>
      <c r="J29" s="40"/>
      <c r="K29" s="38"/>
      <c r="L29" s="26" t="str">
        <f>IFERROR(VLOOKUP(D29,ドメインタイプDATA,6,FALSE)&amp;"","")</f>
        <v/>
      </c>
      <c r="M29" s="26" t="str">
        <f>IFERROR(VLOOKUP(D29,ドメインタイプDATA,7,FALSE)&amp;"","")</f>
        <v/>
      </c>
      <c r="N29" s="32">
        <f ca="1">COUNTIF(派生元項目KEY,A29)</f>
        <v>0</v>
      </c>
      <c r="O29" s="32">
        <f ca="1">COUNTIF(区分値項目KEY,A29)</f>
        <v>0</v>
      </c>
    </row>
    <row r="30" spans="1:15" ht="15" x14ac:dyDescent="0.55000000000000004">
      <c r="A30" s="38"/>
      <c r="B30" s="38"/>
      <c r="C30" s="26" t="str">
        <f t="shared" si="1"/>
        <v/>
      </c>
      <c r="D30" s="38"/>
      <c r="E30" s="38"/>
      <c r="F30" s="38"/>
      <c r="G30" s="38"/>
      <c r="H30" s="38"/>
      <c r="I30" s="38"/>
      <c r="J30" s="40"/>
      <c r="K30" s="38"/>
      <c r="L30" s="26" t="str">
        <f>IFERROR(VLOOKUP(D30,ドメインタイプDATA,6,FALSE)&amp;"","")</f>
        <v/>
      </c>
      <c r="M30" s="26" t="str">
        <f>IFERROR(VLOOKUP(D30,ドメインタイプDATA,7,FALSE)&amp;"","")</f>
        <v/>
      </c>
      <c r="N30" s="32">
        <f ca="1">COUNTIF(派生元項目KEY,A30)</f>
        <v>0</v>
      </c>
      <c r="O30" s="32">
        <f ca="1">COUNTIF(区分値項目KEY,A30)</f>
        <v>0</v>
      </c>
    </row>
    <row r="31" spans="1:15" ht="15" x14ac:dyDescent="0.55000000000000004">
      <c r="A31" s="38"/>
      <c r="B31" s="38"/>
      <c r="C31" s="26" t="str">
        <f t="shared" si="1"/>
        <v/>
      </c>
      <c r="D31" s="38"/>
      <c r="E31" s="38"/>
      <c r="F31" s="38"/>
      <c r="G31" s="38"/>
      <c r="H31" s="38"/>
      <c r="I31" s="38"/>
      <c r="J31" s="40"/>
      <c r="K31" s="38"/>
      <c r="L31" s="26" t="str">
        <f>IFERROR(VLOOKUP(D31,ドメインタイプDATA,6,FALSE)&amp;"","")</f>
        <v/>
      </c>
      <c r="M31" s="26" t="str">
        <f>IFERROR(VLOOKUP(D31,ドメインタイプDATA,7,FALSE)&amp;"","")</f>
        <v/>
      </c>
      <c r="N31" s="32">
        <f ca="1">COUNTIF(派生元項目KEY,A31)</f>
        <v>0</v>
      </c>
      <c r="O31" s="32">
        <f ca="1">COUNTIF(区分値項目KEY,A31)</f>
        <v>0</v>
      </c>
    </row>
    <row r="32" spans="1:15" ht="15" x14ac:dyDescent="0.55000000000000004">
      <c r="A32" s="38"/>
      <c r="B32" s="38"/>
      <c r="C32" s="26" t="str">
        <f t="shared" si="1"/>
        <v/>
      </c>
      <c r="D32" s="38"/>
      <c r="E32" s="38"/>
      <c r="F32" s="38"/>
      <c r="G32" s="38"/>
      <c r="H32" s="38"/>
      <c r="I32" s="38"/>
      <c r="J32" s="40"/>
      <c r="K32" s="38"/>
      <c r="L32" s="26" t="str">
        <f>IFERROR(VLOOKUP(D32,ドメインタイプDATA,6,FALSE)&amp;"","")</f>
        <v/>
      </c>
      <c r="M32" s="26" t="str">
        <f>IFERROR(VLOOKUP(D32,ドメインタイプDATA,7,FALSE)&amp;"","")</f>
        <v/>
      </c>
      <c r="N32" s="32">
        <f ca="1">COUNTIF(派生元項目KEY,A32)</f>
        <v>0</v>
      </c>
      <c r="O32" s="32">
        <f ca="1">COUNTIF(区分値項目KEY,A32)</f>
        <v>0</v>
      </c>
    </row>
    <row r="33" spans="1:15" ht="15" x14ac:dyDescent="0.55000000000000004">
      <c r="A33" s="38"/>
      <c r="B33" s="38"/>
      <c r="C33" s="26" t="str">
        <f t="shared" si="1"/>
        <v/>
      </c>
      <c r="D33" s="38"/>
      <c r="E33" s="38"/>
      <c r="F33" s="38"/>
      <c r="G33" s="38"/>
      <c r="H33" s="38"/>
      <c r="I33" s="38"/>
      <c r="J33" s="40"/>
      <c r="K33" s="38"/>
      <c r="L33" s="26" t="str">
        <f>IFERROR(VLOOKUP(D33,ドメインタイプDATA,6,FALSE)&amp;"","")</f>
        <v/>
      </c>
      <c r="M33" s="26" t="str">
        <f>IFERROR(VLOOKUP(D33,ドメインタイプDATA,7,FALSE)&amp;"","")</f>
        <v/>
      </c>
      <c r="N33" s="32">
        <f ca="1">COUNTIF(派生元項目KEY,A33)</f>
        <v>0</v>
      </c>
      <c r="O33" s="32">
        <f ca="1">COUNTIF(区分値項目KEY,A33)</f>
        <v>0</v>
      </c>
    </row>
    <row r="34" spans="1:15" ht="15" x14ac:dyDescent="0.55000000000000004">
      <c r="A34" s="38"/>
      <c r="B34" s="38"/>
      <c r="C34" s="26" t="str">
        <f t="shared" si="1"/>
        <v/>
      </c>
      <c r="D34" s="38"/>
      <c r="E34" s="38"/>
      <c r="F34" s="38"/>
      <c r="G34" s="38"/>
      <c r="H34" s="38"/>
      <c r="I34" s="38"/>
      <c r="J34" s="40"/>
      <c r="K34" s="38"/>
      <c r="L34" s="26" t="str">
        <f>IFERROR(VLOOKUP(D34,ドメインタイプDATA,6,FALSE)&amp;"","")</f>
        <v/>
      </c>
      <c r="M34" s="26" t="str">
        <f>IFERROR(VLOOKUP(D34,ドメインタイプDATA,7,FALSE)&amp;"","")</f>
        <v/>
      </c>
      <c r="N34" s="32">
        <f ca="1">COUNTIF(派生元項目KEY,A34)</f>
        <v>0</v>
      </c>
      <c r="O34" s="32">
        <f ca="1">COUNTIF(区分値項目KEY,A34)</f>
        <v>0</v>
      </c>
    </row>
    <row r="35" spans="1:15" ht="15" x14ac:dyDescent="0.55000000000000004">
      <c r="A35" s="38"/>
      <c r="B35" s="38"/>
      <c r="C35" s="26" t="str">
        <f t="shared" si="1"/>
        <v/>
      </c>
      <c r="D35" s="38"/>
      <c r="E35" s="38"/>
      <c r="F35" s="38"/>
      <c r="G35" s="38"/>
      <c r="H35" s="38"/>
      <c r="I35" s="38"/>
      <c r="J35" s="40"/>
      <c r="K35" s="38"/>
      <c r="L35" s="26" t="str">
        <f>IFERROR(VLOOKUP(D35,ドメインタイプDATA,6,FALSE)&amp;"","")</f>
        <v/>
      </c>
      <c r="M35" s="26" t="str">
        <f>IFERROR(VLOOKUP(D35,ドメインタイプDATA,7,FALSE)&amp;"","")</f>
        <v/>
      </c>
      <c r="N35" s="32">
        <f ca="1">COUNTIF(派生元項目KEY,A35)</f>
        <v>0</v>
      </c>
      <c r="O35" s="32">
        <f ca="1">COUNTIF(区分値項目KEY,A35)</f>
        <v>0</v>
      </c>
    </row>
    <row r="36" spans="1:15" ht="15" x14ac:dyDescent="0.55000000000000004">
      <c r="A36" s="38"/>
      <c r="B36" s="38"/>
      <c r="C36" s="26" t="str">
        <f t="shared" si="1"/>
        <v/>
      </c>
      <c r="D36" s="38"/>
      <c r="E36" s="38"/>
      <c r="F36" s="38"/>
      <c r="G36" s="38"/>
      <c r="H36" s="38"/>
      <c r="I36" s="38"/>
      <c r="J36" s="40"/>
      <c r="K36" s="38"/>
      <c r="L36" s="26" t="str">
        <f>IFERROR(VLOOKUP(D36,ドメインタイプDATA,6,FALSE)&amp;"","")</f>
        <v/>
      </c>
      <c r="M36" s="26" t="str">
        <f>IFERROR(VLOOKUP(D36,ドメインタイプDATA,7,FALSE)&amp;"","")</f>
        <v/>
      </c>
      <c r="N36" s="32">
        <f ca="1">COUNTIF(派生元項目KEY,A36)</f>
        <v>0</v>
      </c>
      <c r="O36" s="32">
        <f ca="1">COUNTIF(区分値項目KEY,A36)</f>
        <v>0</v>
      </c>
    </row>
    <row r="37" spans="1:15" ht="15" x14ac:dyDescent="0.55000000000000004">
      <c r="A37" s="38"/>
      <c r="B37" s="38"/>
      <c r="C37" s="26" t="str">
        <f t="shared" si="1"/>
        <v/>
      </c>
      <c r="D37" s="38"/>
      <c r="E37" s="38"/>
      <c r="F37" s="38"/>
      <c r="G37" s="38"/>
      <c r="H37" s="38"/>
      <c r="I37" s="38"/>
      <c r="J37" s="40"/>
      <c r="K37" s="38"/>
      <c r="L37" s="26" t="str">
        <f>IFERROR(VLOOKUP(D37,ドメインタイプDATA,6,FALSE)&amp;"","")</f>
        <v/>
      </c>
      <c r="M37" s="26" t="str">
        <f>IFERROR(VLOOKUP(D37,ドメインタイプDATA,7,FALSE)&amp;"","")</f>
        <v/>
      </c>
      <c r="N37" s="32">
        <f ca="1">COUNTIF(派生元項目KEY,A37)</f>
        <v>0</v>
      </c>
      <c r="O37" s="32">
        <f ca="1">COUNTIF(区分値項目KEY,A37)</f>
        <v>0</v>
      </c>
    </row>
    <row r="38" spans="1:15" ht="15" x14ac:dyDescent="0.55000000000000004">
      <c r="A38" s="38"/>
      <c r="B38" s="38"/>
      <c r="C38" s="26" t="str">
        <f t="shared" si="1"/>
        <v/>
      </c>
      <c r="D38" s="38"/>
      <c r="E38" s="38"/>
      <c r="F38" s="38"/>
      <c r="G38" s="38"/>
      <c r="H38" s="38"/>
      <c r="I38" s="38"/>
      <c r="J38" s="40"/>
      <c r="K38" s="38"/>
      <c r="L38" s="26" t="str">
        <f>IFERROR(VLOOKUP(D38,ドメインタイプDATA,6,FALSE)&amp;"","")</f>
        <v/>
      </c>
      <c r="M38" s="26" t="str">
        <f>IFERROR(VLOOKUP(D38,ドメインタイプDATA,7,FALSE)&amp;"","")</f>
        <v/>
      </c>
      <c r="N38" s="32">
        <f ca="1">COUNTIF(派生元項目KEY,A38)</f>
        <v>0</v>
      </c>
      <c r="O38" s="32">
        <f ca="1">COUNTIF(区分値項目KEY,A38)</f>
        <v>0</v>
      </c>
    </row>
    <row r="39" spans="1:15" ht="15" x14ac:dyDescent="0.55000000000000004">
      <c r="A39" s="38"/>
      <c r="B39" s="38"/>
      <c r="C39" s="26" t="str">
        <f t="shared" si="1"/>
        <v/>
      </c>
      <c r="D39" s="38"/>
      <c r="E39" s="38"/>
      <c r="F39" s="38"/>
      <c r="G39" s="38"/>
      <c r="H39" s="38"/>
      <c r="I39" s="38"/>
      <c r="J39" s="40"/>
      <c r="K39" s="38"/>
      <c r="L39" s="26" t="str">
        <f>IFERROR(VLOOKUP(D39,ドメインタイプDATA,6,FALSE)&amp;"","")</f>
        <v/>
      </c>
      <c r="M39" s="26" t="str">
        <f>IFERROR(VLOOKUP(D39,ドメインタイプDATA,7,FALSE)&amp;"","")</f>
        <v/>
      </c>
      <c r="N39" s="32">
        <f ca="1">COUNTIF(派生元項目KEY,A39)</f>
        <v>0</v>
      </c>
      <c r="O39" s="32">
        <f ca="1">COUNTIF(区分値項目KEY,A39)</f>
        <v>0</v>
      </c>
    </row>
    <row r="40" spans="1:15" ht="15" x14ac:dyDescent="0.55000000000000004">
      <c r="A40" s="38"/>
      <c r="B40" s="38"/>
      <c r="C40" s="26" t="str">
        <f t="shared" si="1"/>
        <v/>
      </c>
      <c r="D40" s="38"/>
      <c r="E40" s="38"/>
      <c r="F40" s="38"/>
      <c r="G40" s="38"/>
      <c r="H40" s="38"/>
      <c r="I40" s="38"/>
      <c r="J40" s="40"/>
      <c r="K40" s="38"/>
      <c r="L40" s="26" t="str">
        <f>IFERROR(VLOOKUP(D40,ドメインタイプDATA,6,FALSE)&amp;"","")</f>
        <v/>
      </c>
      <c r="M40" s="26" t="str">
        <f>IFERROR(VLOOKUP(D40,ドメインタイプDATA,7,FALSE)&amp;"","")</f>
        <v/>
      </c>
      <c r="N40" s="32">
        <f ca="1">COUNTIF(派生元項目KEY,A40)</f>
        <v>0</v>
      </c>
      <c r="O40" s="32">
        <f ca="1">COUNTIF(区分値項目KEY,A40)</f>
        <v>0</v>
      </c>
    </row>
    <row r="41" spans="1:15" ht="15" x14ac:dyDescent="0.55000000000000004">
      <c r="A41" s="38"/>
      <c r="B41" s="38"/>
      <c r="C41" s="26" t="str">
        <f t="shared" si="1"/>
        <v/>
      </c>
      <c r="D41" s="38"/>
      <c r="E41" s="38"/>
      <c r="F41" s="38"/>
      <c r="G41" s="38"/>
      <c r="H41" s="38"/>
      <c r="I41" s="38"/>
      <c r="J41" s="40"/>
      <c r="K41" s="38"/>
      <c r="L41" s="26" t="str">
        <f>IFERROR(VLOOKUP(D41,ドメインタイプDATA,6,FALSE)&amp;"","")</f>
        <v/>
      </c>
      <c r="M41" s="26" t="str">
        <f>IFERROR(VLOOKUP(D41,ドメインタイプDATA,7,FALSE)&amp;"","")</f>
        <v/>
      </c>
      <c r="N41" s="32">
        <f ca="1">COUNTIF(派生元項目KEY,A41)</f>
        <v>0</v>
      </c>
      <c r="O41" s="32">
        <f ca="1">COUNTIF(区分値項目KEY,A41)</f>
        <v>0</v>
      </c>
    </row>
    <row r="42" spans="1:15" ht="15" x14ac:dyDescent="0.55000000000000004">
      <c r="A42" s="38"/>
      <c r="B42" s="38"/>
      <c r="C42" s="26" t="str">
        <f t="shared" si="1"/>
        <v/>
      </c>
      <c r="D42" s="38"/>
      <c r="E42" s="38"/>
      <c r="F42" s="38"/>
      <c r="G42" s="38"/>
      <c r="H42" s="38"/>
      <c r="I42" s="38"/>
      <c r="J42" s="40"/>
      <c r="K42" s="38"/>
      <c r="L42" s="26" t="str">
        <f>IFERROR(VLOOKUP(D42,ドメインタイプDATA,6,FALSE)&amp;"","")</f>
        <v/>
      </c>
      <c r="M42" s="26" t="str">
        <f>IFERROR(VLOOKUP(D42,ドメインタイプDATA,7,FALSE)&amp;"","")</f>
        <v/>
      </c>
      <c r="N42" s="32">
        <f ca="1">COUNTIF(派生元項目KEY,A42)</f>
        <v>0</v>
      </c>
      <c r="O42" s="32">
        <f ca="1">COUNTIF(区分値項目KEY,A42)</f>
        <v>0</v>
      </c>
    </row>
    <row r="43" spans="1:15" ht="15" x14ac:dyDescent="0.55000000000000004">
      <c r="A43" s="38"/>
      <c r="B43" s="38"/>
      <c r="C43" s="26" t="str">
        <f t="shared" si="1"/>
        <v/>
      </c>
      <c r="D43" s="38"/>
      <c r="E43" s="38"/>
      <c r="F43" s="38"/>
      <c r="G43" s="38"/>
      <c r="H43" s="38"/>
      <c r="I43" s="38"/>
      <c r="J43" s="40"/>
      <c r="K43" s="38"/>
      <c r="L43" s="26" t="str">
        <f>IFERROR(VLOOKUP(D43,ドメインタイプDATA,6,FALSE)&amp;"","")</f>
        <v/>
      </c>
      <c r="M43" s="26" t="str">
        <f>IFERROR(VLOOKUP(D43,ドメインタイプDATA,7,FALSE)&amp;"","")</f>
        <v/>
      </c>
      <c r="N43" s="32">
        <f ca="1">COUNTIF(派生元項目KEY,A43)</f>
        <v>0</v>
      </c>
      <c r="O43" s="32">
        <f ca="1">COUNTIF(区分値項目KEY,A43)</f>
        <v>0</v>
      </c>
    </row>
    <row r="44" spans="1:15" ht="15" x14ac:dyDescent="0.55000000000000004">
      <c r="A44" s="38"/>
      <c r="B44" s="38"/>
      <c r="C44" s="26" t="str">
        <f t="shared" si="1"/>
        <v/>
      </c>
      <c r="D44" s="38"/>
      <c r="E44" s="38"/>
      <c r="F44" s="38"/>
      <c r="G44" s="38"/>
      <c r="H44" s="38"/>
      <c r="I44" s="38"/>
      <c r="J44" s="40"/>
      <c r="K44" s="38"/>
      <c r="L44" s="26" t="str">
        <f>IFERROR(VLOOKUP(D44,ドメインタイプDATA,6,FALSE)&amp;"","")</f>
        <v/>
      </c>
      <c r="M44" s="26" t="str">
        <f>IFERROR(VLOOKUP(D44,ドメインタイプDATA,7,FALSE)&amp;"","")</f>
        <v/>
      </c>
      <c r="N44" s="32">
        <f ca="1">COUNTIF(派生元項目KEY,A44)</f>
        <v>0</v>
      </c>
      <c r="O44" s="32">
        <f ca="1">COUNTIF(区分値項目KEY,A44)</f>
        <v>0</v>
      </c>
    </row>
    <row r="45" spans="1:15" ht="15" x14ac:dyDescent="0.55000000000000004">
      <c r="A45" s="38"/>
      <c r="B45" s="38"/>
      <c r="C45" s="26" t="str">
        <f t="shared" si="1"/>
        <v/>
      </c>
      <c r="D45" s="38"/>
      <c r="E45" s="38"/>
      <c r="F45" s="38"/>
      <c r="G45" s="38"/>
      <c r="H45" s="38"/>
      <c r="I45" s="38"/>
      <c r="J45" s="40"/>
      <c r="K45" s="38"/>
      <c r="L45" s="26" t="str">
        <f>IFERROR(VLOOKUP(D45,ドメインタイプDATA,6,FALSE)&amp;"","")</f>
        <v/>
      </c>
      <c r="M45" s="26" t="str">
        <f>IFERROR(VLOOKUP(D45,ドメインタイプDATA,7,FALSE)&amp;"","")</f>
        <v/>
      </c>
      <c r="N45" s="32">
        <f ca="1">COUNTIF(派生元項目KEY,A45)</f>
        <v>0</v>
      </c>
      <c r="O45" s="32">
        <f ca="1">COUNTIF(区分値項目KEY,A45)</f>
        <v>0</v>
      </c>
    </row>
    <row r="46" spans="1:15" ht="15" x14ac:dyDescent="0.55000000000000004">
      <c r="A46" s="38"/>
      <c r="B46" s="38"/>
      <c r="C46" s="26" t="str">
        <f t="shared" si="1"/>
        <v/>
      </c>
      <c r="D46" s="38"/>
      <c r="E46" s="38"/>
      <c r="F46" s="38"/>
      <c r="G46" s="38"/>
      <c r="H46" s="38"/>
      <c r="I46" s="38"/>
      <c r="J46" s="40"/>
      <c r="K46" s="38"/>
      <c r="L46" s="26" t="str">
        <f>IFERROR(VLOOKUP(D46,ドメインタイプDATA,6,FALSE)&amp;"","")</f>
        <v/>
      </c>
      <c r="M46" s="26" t="str">
        <f>IFERROR(VLOOKUP(D46,ドメインタイプDATA,7,FALSE)&amp;"","")</f>
        <v/>
      </c>
      <c r="N46" s="32">
        <f ca="1">COUNTIF(派生元項目KEY,A46)</f>
        <v>0</v>
      </c>
      <c r="O46" s="32">
        <f ca="1">COUNTIF(区分値項目KEY,A46)</f>
        <v>0</v>
      </c>
    </row>
    <row r="47" spans="1:15" ht="15" x14ac:dyDescent="0.55000000000000004">
      <c r="A47" s="38"/>
      <c r="B47" s="38"/>
      <c r="C47" s="26" t="str">
        <f t="shared" si="1"/>
        <v/>
      </c>
      <c r="D47" s="38"/>
      <c r="E47" s="38"/>
      <c r="F47" s="38"/>
      <c r="G47" s="38"/>
      <c r="H47" s="38"/>
      <c r="I47" s="38"/>
      <c r="J47" s="40"/>
      <c r="K47" s="38"/>
      <c r="L47" s="26" t="str">
        <f>IFERROR(VLOOKUP(D47,ドメインタイプDATA,6,FALSE)&amp;"","")</f>
        <v/>
      </c>
      <c r="M47" s="26" t="str">
        <f>IFERROR(VLOOKUP(D47,ドメインタイプDATA,7,FALSE)&amp;"","")</f>
        <v/>
      </c>
      <c r="N47" s="32">
        <f ca="1">COUNTIF(派生元項目KEY,A47)</f>
        <v>0</v>
      </c>
      <c r="O47" s="32">
        <f ca="1">COUNTIF(区分値項目KEY,A47)</f>
        <v>0</v>
      </c>
    </row>
    <row r="48" spans="1:15" ht="15" x14ac:dyDescent="0.55000000000000004">
      <c r="A48" s="38"/>
      <c r="B48" s="38"/>
      <c r="C48" s="26" t="str">
        <f t="shared" si="1"/>
        <v/>
      </c>
      <c r="D48" s="38"/>
      <c r="E48" s="38"/>
      <c r="F48" s="38"/>
      <c r="G48" s="38"/>
      <c r="H48" s="38"/>
      <c r="I48" s="38"/>
      <c r="J48" s="40"/>
      <c r="K48" s="38"/>
      <c r="L48" s="26" t="str">
        <f>IFERROR(VLOOKUP(D48,ドメインタイプDATA,6,FALSE)&amp;"","")</f>
        <v/>
      </c>
      <c r="M48" s="26" t="str">
        <f>IFERROR(VLOOKUP(D48,ドメインタイプDATA,7,FALSE)&amp;"","")</f>
        <v/>
      </c>
      <c r="N48" s="32">
        <f ca="1">COUNTIF(派生元項目KEY,A48)</f>
        <v>0</v>
      </c>
      <c r="O48" s="32">
        <f ca="1">COUNTIF(区分値項目KEY,A48)</f>
        <v>0</v>
      </c>
    </row>
    <row r="49" spans="1:15" ht="15" x14ac:dyDescent="0.55000000000000004">
      <c r="A49" s="38"/>
      <c r="B49" s="38"/>
      <c r="C49" s="26" t="str">
        <f t="shared" si="1"/>
        <v/>
      </c>
      <c r="D49" s="38"/>
      <c r="E49" s="38"/>
      <c r="F49" s="38"/>
      <c r="G49" s="38"/>
      <c r="H49" s="38"/>
      <c r="I49" s="38"/>
      <c r="J49" s="40"/>
      <c r="K49" s="38"/>
      <c r="L49" s="26" t="str">
        <f>IFERROR(VLOOKUP(D49,ドメインタイプDATA,6,FALSE)&amp;"","")</f>
        <v/>
      </c>
      <c r="M49" s="26" t="str">
        <f>IFERROR(VLOOKUP(D49,ドメインタイプDATA,7,FALSE)&amp;"","")</f>
        <v/>
      </c>
      <c r="N49" s="32">
        <f ca="1">COUNTIF(派生元項目KEY,A49)</f>
        <v>0</v>
      </c>
      <c r="O49" s="32">
        <f ca="1">COUNTIF(区分値項目KEY,A49)</f>
        <v>0</v>
      </c>
    </row>
    <row r="50" spans="1:15" ht="15" x14ac:dyDescent="0.55000000000000004">
      <c r="A50" s="38"/>
      <c r="B50" s="38"/>
      <c r="C50" s="26" t="str">
        <f t="shared" si="1"/>
        <v/>
      </c>
      <c r="D50" s="38"/>
      <c r="E50" s="38"/>
      <c r="F50" s="38"/>
      <c r="G50" s="38"/>
      <c r="H50" s="38"/>
      <c r="I50" s="38"/>
      <c r="J50" s="40"/>
      <c r="K50" s="38"/>
      <c r="L50" s="26" t="str">
        <f>IFERROR(VLOOKUP(D50,ドメインタイプDATA,6,FALSE)&amp;"","")</f>
        <v/>
      </c>
      <c r="M50" s="26" t="str">
        <f>IFERROR(VLOOKUP(D50,ドメインタイプDATA,7,FALSE)&amp;"","")</f>
        <v/>
      </c>
      <c r="N50" s="32">
        <f ca="1">COUNTIF(派生元項目KEY,A50)</f>
        <v>0</v>
      </c>
      <c r="O50" s="32">
        <f ca="1">COUNTIF(区分値項目KEY,A50)</f>
        <v>0</v>
      </c>
    </row>
    <row r="51" spans="1:15" ht="15" x14ac:dyDescent="0.55000000000000004">
      <c r="A51" s="38"/>
      <c r="B51" s="38"/>
      <c r="C51" s="26" t="str">
        <f t="shared" si="1"/>
        <v/>
      </c>
      <c r="D51" s="38"/>
      <c r="E51" s="38"/>
      <c r="F51" s="38"/>
      <c r="G51" s="38"/>
      <c r="H51" s="38"/>
      <c r="I51" s="38"/>
      <c r="J51" s="40"/>
      <c r="K51" s="38"/>
      <c r="L51" s="26" t="str">
        <f>IFERROR(VLOOKUP(D51,ドメインタイプDATA,6,FALSE)&amp;"","")</f>
        <v/>
      </c>
      <c r="M51" s="26" t="str">
        <f>IFERROR(VLOOKUP(D51,ドメインタイプDATA,7,FALSE)&amp;"","")</f>
        <v/>
      </c>
      <c r="N51" s="32">
        <f ca="1">COUNTIF(派生元項目KEY,A51)</f>
        <v>0</v>
      </c>
      <c r="O51" s="32">
        <f ca="1">COUNTIF(区分値項目KEY,A51)</f>
        <v>0</v>
      </c>
    </row>
    <row r="52" spans="1:15" ht="15" x14ac:dyDescent="0.55000000000000004">
      <c r="A52" s="38"/>
      <c r="B52" s="38"/>
      <c r="C52" s="26" t="str">
        <f t="shared" si="1"/>
        <v/>
      </c>
      <c r="D52" s="38"/>
      <c r="E52" s="38"/>
      <c r="F52" s="38"/>
      <c r="G52" s="38"/>
      <c r="H52" s="38"/>
      <c r="I52" s="38"/>
      <c r="J52" s="40"/>
      <c r="K52" s="38"/>
      <c r="L52" s="26" t="str">
        <f>IFERROR(VLOOKUP(D52,ドメインタイプDATA,6,FALSE)&amp;"","")</f>
        <v/>
      </c>
      <c r="M52" s="26" t="str">
        <f>IFERROR(VLOOKUP(D52,ドメインタイプDATA,7,FALSE)&amp;"","")</f>
        <v/>
      </c>
      <c r="N52" s="32">
        <f ca="1">COUNTIF(派生元項目KEY,A52)</f>
        <v>0</v>
      </c>
      <c r="O52" s="32">
        <f ca="1">COUNTIF(区分値項目KEY,A52)</f>
        <v>0</v>
      </c>
    </row>
    <row r="53" spans="1:15" ht="15" x14ac:dyDescent="0.55000000000000004">
      <c r="A53" s="38"/>
      <c r="B53" s="38"/>
      <c r="C53" s="26" t="str">
        <f t="shared" si="1"/>
        <v/>
      </c>
      <c r="D53" s="38"/>
      <c r="E53" s="38"/>
      <c r="F53" s="38"/>
      <c r="G53" s="38"/>
      <c r="H53" s="38"/>
      <c r="I53" s="38"/>
      <c r="J53" s="40"/>
      <c r="K53" s="38"/>
      <c r="L53" s="26" t="str">
        <f>IFERROR(VLOOKUP(D53,ドメインタイプDATA,6,FALSE)&amp;"","")</f>
        <v/>
      </c>
      <c r="M53" s="26" t="str">
        <f>IFERROR(VLOOKUP(D53,ドメインタイプDATA,7,FALSE)&amp;"","")</f>
        <v/>
      </c>
      <c r="N53" s="32">
        <f ca="1">COUNTIF(派生元項目KEY,A53)</f>
        <v>0</v>
      </c>
      <c r="O53" s="32">
        <f ca="1">COUNTIF(区分値項目KEY,A53)</f>
        <v>0</v>
      </c>
    </row>
    <row r="54" spans="1:15" ht="15" x14ac:dyDescent="0.55000000000000004">
      <c r="A54" s="38"/>
      <c r="B54" s="38"/>
      <c r="C54" s="26" t="str">
        <f t="shared" si="1"/>
        <v/>
      </c>
      <c r="D54" s="38"/>
      <c r="E54" s="38"/>
      <c r="F54" s="38"/>
      <c r="G54" s="38"/>
      <c r="H54" s="38"/>
      <c r="I54" s="38"/>
      <c r="J54" s="40"/>
      <c r="K54" s="38"/>
      <c r="L54" s="26" t="str">
        <f>IFERROR(VLOOKUP(D54,ドメインタイプDATA,6,FALSE)&amp;"","")</f>
        <v/>
      </c>
      <c r="M54" s="26" t="str">
        <f>IFERROR(VLOOKUP(D54,ドメインタイプDATA,7,FALSE)&amp;"","")</f>
        <v/>
      </c>
      <c r="N54" s="32">
        <f ca="1">COUNTIF(派生元項目KEY,A54)</f>
        <v>0</v>
      </c>
      <c r="O54" s="32">
        <f ca="1">COUNTIF(区分値項目KEY,A54)</f>
        <v>0</v>
      </c>
    </row>
    <row r="55" spans="1:15" ht="15" x14ac:dyDescent="0.55000000000000004">
      <c r="A55" s="38"/>
      <c r="B55" s="38"/>
      <c r="C55" s="26" t="str">
        <f t="shared" si="1"/>
        <v/>
      </c>
      <c r="D55" s="38"/>
      <c r="E55" s="38"/>
      <c r="F55" s="38"/>
      <c r="G55" s="38"/>
      <c r="H55" s="38"/>
      <c r="I55" s="38"/>
      <c r="J55" s="40"/>
      <c r="K55" s="38"/>
      <c r="L55" s="26" t="str">
        <f>IFERROR(VLOOKUP(D55,ドメインタイプDATA,6,FALSE)&amp;"","")</f>
        <v/>
      </c>
      <c r="M55" s="26" t="str">
        <f>IFERROR(VLOOKUP(D55,ドメインタイプDATA,7,FALSE)&amp;"","")</f>
        <v/>
      </c>
      <c r="N55" s="32">
        <f ca="1">COUNTIF(派生元項目KEY,A55)</f>
        <v>0</v>
      </c>
      <c r="O55" s="32">
        <f ca="1">COUNTIF(区分値項目KEY,A55)</f>
        <v>0</v>
      </c>
    </row>
    <row r="56" spans="1:15" ht="15" x14ac:dyDescent="0.55000000000000004">
      <c r="A56" s="38"/>
      <c r="B56" s="38"/>
      <c r="C56" s="26" t="str">
        <f t="shared" si="1"/>
        <v/>
      </c>
      <c r="D56" s="38"/>
      <c r="E56" s="38"/>
      <c r="F56" s="38"/>
      <c r="G56" s="38"/>
      <c r="H56" s="38"/>
      <c r="I56" s="38"/>
      <c r="J56" s="40"/>
      <c r="K56" s="38"/>
      <c r="L56" s="26" t="str">
        <f>IFERROR(VLOOKUP(D56,ドメインタイプDATA,6,FALSE)&amp;"","")</f>
        <v/>
      </c>
      <c r="M56" s="26" t="str">
        <f>IFERROR(VLOOKUP(D56,ドメインタイプDATA,7,FALSE)&amp;"","")</f>
        <v/>
      </c>
      <c r="N56" s="32">
        <f ca="1">COUNTIF(派生元項目KEY,A56)</f>
        <v>0</v>
      </c>
      <c r="O56" s="32">
        <f ca="1">COUNTIF(区分値項目KEY,A56)</f>
        <v>0</v>
      </c>
    </row>
    <row r="57" spans="1:15" ht="15" x14ac:dyDescent="0.55000000000000004">
      <c r="A57" s="39"/>
      <c r="B57" s="39"/>
      <c r="C57" s="27" t="str">
        <f t="shared" si="1"/>
        <v/>
      </c>
      <c r="D57" s="39"/>
      <c r="E57" s="39"/>
      <c r="F57" s="39"/>
      <c r="G57" s="39"/>
      <c r="H57" s="39"/>
      <c r="I57" s="39"/>
      <c r="J57" s="41"/>
      <c r="K57" s="39"/>
      <c r="L57" s="27" t="str">
        <f>IFERROR(VLOOKUP(D57,ドメインタイプDATA,6,FALSE)&amp;"","")</f>
        <v/>
      </c>
      <c r="M57" s="27" t="str">
        <f>IFERROR(VLOOKUP(D57,ドメインタイプDATA,7,FALSE)&amp;"","")</f>
        <v/>
      </c>
      <c r="N57" s="36">
        <f ca="1">COUNTIF(派生元項目KEY,A57)</f>
        <v>0</v>
      </c>
      <c r="O57" s="36">
        <f ca="1">COUNTIF(区分値項目KEY,A57)</f>
        <v>0</v>
      </c>
    </row>
    <row r="58" spans="1:15" ht="18" x14ac:dyDescent="0.5500000000000000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</row>
    <row r="59" spans="1:15" ht="18" x14ac:dyDescent="0.5500000000000000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</row>
    <row r="60" spans="1:15" ht="18" x14ac:dyDescent="0.5500000000000000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</row>
    <row r="61" spans="1:15" ht="18" x14ac:dyDescent="0.5500000000000000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</row>
    <row r="62" spans="1:15" ht="18" x14ac:dyDescent="0.5500000000000000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</row>
    <row r="63" spans="1:15" ht="18" x14ac:dyDescent="0.5500000000000000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  <row r="64" spans="1:15" ht="18" x14ac:dyDescent="0.5500000000000000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</row>
    <row r="65" spans="1:15" ht="18" x14ac:dyDescent="0.5500000000000000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</row>
    <row r="66" spans="1:15" ht="18" x14ac:dyDescent="0.5500000000000000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</row>
    <row r="67" spans="1:15" ht="18" x14ac:dyDescent="0.5500000000000000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</row>
    <row r="68" spans="1:15" ht="18" x14ac:dyDescent="0.5500000000000000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</row>
    <row r="69" spans="1:15" ht="18" x14ac:dyDescent="0.5500000000000000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</row>
    <row r="70" spans="1:15" ht="18" x14ac:dyDescent="0.5500000000000000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</row>
    <row r="71" spans="1:15" ht="18" x14ac:dyDescent="0.5500000000000000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</row>
    <row r="72" spans="1:15" ht="18" x14ac:dyDescent="0.5500000000000000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</row>
    <row r="73" spans="1:15" ht="18" x14ac:dyDescent="0.5500000000000000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</row>
    <row r="74" spans="1:15" ht="18" x14ac:dyDescent="0.5500000000000000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</row>
    <row r="75" spans="1:15" ht="18" x14ac:dyDescent="0.5500000000000000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</row>
    <row r="76" spans="1:15" ht="18" x14ac:dyDescent="0.5500000000000000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</row>
    <row r="77" spans="1:15" ht="18" x14ac:dyDescent="0.5500000000000000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</row>
    <row r="78" spans="1:15" ht="18" x14ac:dyDescent="0.5500000000000000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</row>
    <row r="79" spans="1:15" ht="18" x14ac:dyDescent="0.5500000000000000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</row>
    <row r="80" spans="1:15" ht="18" x14ac:dyDescent="0.5500000000000000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</row>
    <row r="81" spans="1:15" ht="18" x14ac:dyDescent="0.5500000000000000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</row>
    <row r="82" spans="1:15" ht="18" x14ac:dyDescent="0.5500000000000000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</row>
    <row r="83" spans="1:15" ht="18" x14ac:dyDescent="0.5500000000000000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</row>
    <row r="84" spans="1:15" ht="18" x14ac:dyDescent="0.5500000000000000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</row>
    <row r="85" spans="1:15" ht="18" x14ac:dyDescent="0.5500000000000000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</row>
    <row r="86" spans="1:15" ht="18" x14ac:dyDescent="0.5500000000000000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</row>
    <row r="87" spans="1:15" ht="18" x14ac:dyDescent="0.5500000000000000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</row>
    <row r="88" spans="1:15" ht="18" x14ac:dyDescent="0.5500000000000000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</row>
    <row r="89" spans="1:15" ht="18" x14ac:dyDescent="0.5500000000000000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</row>
    <row r="90" spans="1:15" ht="18" x14ac:dyDescent="0.5500000000000000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</row>
    <row r="91" spans="1:15" ht="18" x14ac:dyDescent="0.5500000000000000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</row>
    <row r="92" spans="1:15" ht="18" x14ac:dyDescent="0.5500000000000000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</row>
    <row r="93" spans="1:15" ht="18" x14ac:dyDescent="0.5500000000000000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</row>
    <row r="94" spans="1:15" ht="18" x14ac:dyDescent="0.5500000000000000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</row>
    <row r="95" spans="1:15" ht="18" x14ac:dyDescent="0.5500000000000000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</row>
    <row r="96" spans="1:15" ht="18" x14ac:dyDescent="0.5500000000000000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</row>
    <row r="97" spans="1:15" ht="18" x14ac:dyDescent="0.5500000000000000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</row>
    <row r="98" spans="1:15" ht="18" x14ac:dyDescent="0.5500000000000000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</row>
    <row r="99" spans="1:15" ht="18" x14ac:dyDescent="0.5500000000000000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</row>
    <row r="100" spans="1:15" ht="18" x14ac:dyDescent="0.5500000000000000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</row>
    <row r="101" spans="1:15" ht="18" x14ac:dyDescent="0.5500000000000000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</row>
    <row r="102" spans="1:15" ht="18" x14ac:dyDescent="0.5500000000000000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</row>
    <row r="103" spans="1:15" ht="18" x14ac:dyDescent="0.5500000000000000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</row>
    <row r="104" spans="1:15" ht="18" x14ac:dyDescent="0.5500000000000000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</row>
    <row r="105" spans="1:15" ht="18" x14ac:dyDescent="0.5500000000000000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</row>
    <row r="106" spans="1:15" ht="18" x14ac:dyDescent="0.5500000000000000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</row>
    <row r="107" spans="1:15" ht="18" x14ac:dyDescent="0.5500000000000000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</row>
    <row r="108" spans="1:15" ht="18" x14ac:dyDescent="0.5500000000000000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</row>
    <row r="109" spans="1:15" ht="18" x14ac:dyDescent="0.5500000000000000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</row>
    <row r="110" spans="1:15" ht="18" x14ac:dyDescent="0.5500000000000000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</row>
    <row r="111" spans="1:15" ht="18" x14ac:dyDescent="0.5500000000000000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</row>
    <row r="112" spans="1:15" ht="18" x14ac:dyDescent="0.5500000000000000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</row>
    <row r="113" spans="1:15" ht="18" x14ac:dyDescent="0.5500000000000000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</row>
    <row r="114" spans="1:15" ht="18" x14ac:dyDescent="0.5500000000000000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</row>
    <row r="115" spans="1:15" ht="18" x14ac:dyDescent="0.5500000000000000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</row>
    <row r="116" spans="1:15" ht="18" x14ac:dyDescent="0.5500000000000000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</row>
    <row r="117" spans="1:15" ht="18" x14ac:dyDescent="0.5500000000000000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</row>
    <row r="118" spans="1:15" ht="18" x14ac:dyDescent="0.5500000000000000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</row>
    <row r="119" spans="1:15" ht="18" x14ac:dyDescent="0.5500000000000000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</row>
    <row r="120" spans="1:15" ht="18" x14ac:dyDescent="0.5500000000000000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</row>
    <row r="121" spans="1:15" ht="18" x14ac:dyDescent="0.5500000000000000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</row>
    <row r="122" spans="1:15" ht="18" x14ac:dyDescent="0.5500000000000000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</row>
    <row r="123" spans="1:15" ht="18" x14ac:dyDescent="0.5500000000000000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</row>
    <row r="124" spans="1:15" ht="18" x14ac:dyDescent="0.5500000000000000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</row>
    <row r="125" spans="1:15" ht="18" x14ac:dyDescent="0.5500000000000000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</row>
    <row r="126" spans="1:15" ht="18" x14ac:dyDescent="0.5500000000000000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</row>
    <row r="127" spans="1:15" ht="18" x14ac:dyDescent="0.5500000000000000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</row>
    <row r="128" spans="1:15" ht="18" x14ac:dyDescent="0.5500000000000000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</row>
    <row r="129" spans="1:15" ht="18" x14ac:dyDescent="0.5500000000000000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</row>
    <row r="130" spans="1:15" ht="18" x14ac:dyDescent="0.5500000000000000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</row>
    <row r="131" spans="1:15" ht="18" x14ac:dyDescent="0.5500000000000000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</row>
    <row r="132" spans="1:15" ht="18" x14ac:dyDescent="0.5500000000000000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</row>
    <row r="133" spans="1:15" ht="18" x14ac:dyDescent="0.5500000000000000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</row>
    <row r="134" spans="1:15" ht="18" x14ac:dyDescent="0.5500000000000000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</row>
    <row r="135" spans="1:15" ht="18" x14ac:dyDescent="0.5500000000000000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</row>
    <row r="136" spans="1:15" ht="18" x14ac:dyDescent="0.5500000000000000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</row>
    <row r="137" spans="1:15" ht="18" x14ac:dyDescent="0.5500000000000000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</row>
    <row r="138" spans="1:15" ht="18" x14ac:dyDescent="0.5500000000000000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</row>
    <row r="139" spans="1:15" ht="18" x14ac:dyDescent="0.5500000000000000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</row>
    <row r="140" spans="1:15" ht="18" x14ac:dyDescent="0.5500000000000000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</row>
    <row r="141" spans="1:15" ht="18" x14ac:dyDescent="0.5500000000000000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</row>
    <row r="142" spans="1:15" ht="18" x14ac:dyDescent="0.5500000000000000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</row>
    <row r="143" spans="1:15" ht="18" x14ac:dyDescent="0.5500000000000000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</row>
    <row r="144" spans="1:15" ht="18" x14ac:dyDescent="0.5500000000000000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</row>
    <row r="145" spans="1:15" ht="18" x14ac:dyDescent="0.5500000000000000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</row>
    <row r="146" spans="1:15" ht="18" x14ac:dyDescent="0.5500000000000000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</row>
    <row r="147" spans="1:15" ht="18" x14ac:dyDescent="0.5500000000000000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</row>
    <row r="148" spans="1:15" ht="18" x14ac:dyDescent="0.5500000000000000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</row>
    <row r="149" spans="1:15" ht="18" x14ac:dyDescent="0.5500000000000000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</row>
    <row r="150" spans="1:15" ht="18" x14ac:dyDescent="0.5500000000000000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</row>
    <row r="151" spans="1:15" ht="18" x14ac:dyDescent="0.5500000000000000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</row>
    <row r="152" spans="1:15" ht="18" x14ac:dyDescent="0.5500000000000000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</row>
    <row r="153" spans="1:15" ht="18" x14ac:dyDescent="0.5500000000000000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</row>
    <row r="154" spans="1:15" ht="18" x14ac:dyDescent="0.5500000000000000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</row>
    <row r="155" spans="1:15" ht="18" x14ac:dyDescent="0.5500000000000000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</row>
    <row r="156" spans="1:15" ht="18" x14ac:dyDescent="0.5500000000000000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</row>
    <row r="157" spans="1:15" ht="18" x14ac:dyDescent="0.5500000000000000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</row>
    <row r="158" spans="1:15" ht="18" x14ac:dyDescent="0.5500000000000000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</row>
    <row r="159" spans="1:15" ht="18" x14ac:dyDescent="0.5500000000000000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</row>
    <row r="160" spans="1:15" ht="18" x14ac:dyDescent="0.5500000000000000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</row>
    <row r="161" spans="1:15" ht="18" x14ac:dyDescent="0.5500000000000000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</row>
    <row r="162" spans="1:15" ht="18" x14ac:dyDescent="0.5500000000000000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</row>
    <row r="163" spans="1:15" ht="18" x14ac:dyDescent="0.5500000000000000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</row>
    <row r="164" spans="1:15" ht="18" x14ac:dyDescent="0.5500000000000000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</row>
    <row r="165" spans="1:15" ht="18" x14ac:dyDescent="0.5500000000000000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</row>
    <row r="166" spans="1:15" ht="18" x14ac:dyDescent="0.5500000000000000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</row>
    <row r="167" spans="1:15" ht="18" x14ac:dyDescent="0.5500000000000000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</row>
    <row r="168" spans="1:15" ht="18" x14ac:dyDescent="0.5500000000000000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</row>
    <row r="169" spans="1:15" ht="18" x14ac:dyDescent="0.5500000000000000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</row>
    <row r="170" spans="1:15" ht="18" x14ac:dyDescent="0.5500000000000000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</row>
    <row r="171" spans="1:15" ht="18" x14ac:dyDescent="0.5500000000000000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</row>
    <row r="172" spans="1:15" ht="18" x14ac:dyDescent="0.5500000000000000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</row>
    <row r="173" spans="1:15" ht="18" x14ac:dyDescent="0.5500000000000000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</row>
    <row r="174" spans="1:15" ht="18" x14ac:dyDescent="0.5500000000000000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</row>
    <row r="175" spans="1:15" ht="18" x14ac:dyDescent="0.5500000000000000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</row>
    <row r="176" spans="1:15" ht="18" x14ac:dyDescent="0.5500000000000000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</row>
    <row r="177" spans="1:15" ht="18" x14ac:dyDescent="0.5500000000000000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</row>
    <row r="178" spans="1:15" ht="18" x14ac:dyDescent="0.5500000000000000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</row>
    <row r="179" spans="1:15" ht="18" x14ac:dyDescent="0.5500000000000000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</row>
    <row r="180" spans="1:15" ht="18" x14ac:dyDescent="0.5500000000000000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</row>
    <row r="181" spans="1:15" ht="18" x14ac:dyDescent="0.5500000000000000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</row>
    <row r="182" spans="1:15" ht="18" x14ac:dyDescent="0.5500000000000000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</row>
    <row r="183" spans="1:15" ht="18" x14ac:dyDescent="0.5500000000000000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</row>
    <row r="184" spans="1:15" ht="18" x14ac:dyDescent="0.5500000000000000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</row>
    <row r="185" spans="1:15" ht="18" x14ac:dyDescent="0.5500000000000000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</row>
    <row r="186" spans="1:15" ht="18" x14ac:dyDescent="0.5500000000000000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</row>
    <row r="187" spans="1:15" ht="18" x14ac:dyDescent="0.5500000000000000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</row>
    <row r="188" spans="1:15" ht="18" x14ac:dyDescent="0.5500000000000000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</row>
    <row r="189" spans="1:15" ht="18" x14ac:dyDescent="0.5500000000000000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</row>
    <row r="190" spans="1:15" ht="18" x14ac:dyDescent="0.5500000000000000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</row>
    <row r="191" spans="1:15" ht="18" x14ac:dyDescent="0.5500000000000000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</row>
    <row r="192" spans="1:15" ht="18" x14ac:dyDescent="0.5500000000000000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</row>
    <row r="193" spans="1:15" ht="18" x14ac:dyDescent="0.5500000000000000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</row>
    <row r="194" spans="1:15" ht="18" x14ac:dyDescent="0.5500000000000000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</row>
    <row r="195" spans="1:15" ht="18" x14ac:dyDescent="0.5500000000000000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</row>
    <row r="196" spans="1:15" ht="18" x14ac:dyDescent="0.5500000000000000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</row>
    <row r="197" spans="1:15" ht="18" x14ac:dyDescent="0.5500000000000000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</row>
    <row r="198" spans="1:15" ht="18" x14ac:dyDescent="0.5500000000000000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</row>
    <row r="199" spans="1:15" ht="18" x14ac:dyDescent="0.5500000000000000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</row>
    <row r="200" spans="1:15" ht="18" x14ac:dyDescent="0.5500000000000000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</row>
    <row r="201" spans="1:15" ht="18" x14ac:dyDescent="0.5500000000000000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</row>
    <row r="202" spans="1:15" ht="18" x14ac:dyDescent="0.5500000000000000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</row>
    <row r="203" spans="1:15" ht="18" x14ac:dyDescent="0.5500000000000000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</row>
    <row r="204" spans="1:15" ht="18" x14ac:dyDescent="0.5500000000000000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</row>
    <row r="205" spans="1:15" ht="18" x14ac:dyDescent="0.5500000000000000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</row>
    <row r="206" spans="1:15" ht="18" x14ac:dyDescent="0.5500000000000000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</row>
    <row r="207" spans="1:15" ht="18" x14ac:dyDescent="0.5500000000000000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</row>
    <row r="208" spans="1:15" ht="18" x14ac:dyDescent="0.5500000000000000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</row>
    <row r="209" spans="1:15" ht="18" x14ac:dyDescent="0.5500000000000000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</row>
    <row r="210" spans="1:15" ht="18" x14ac:dyDescent="0.5500000000000000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</row>
    <row r="211" spans="1:15" ht="18" x14ac:dyDescent="0.5500000000000000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</row>
    <row r="212" spans="1:15" ht="18" x14ac:dyDescent="0.5500000000000000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</row>
    <row r="213" spans="1:15" ht="18" x14ac:dyDescent="0.5500000000000000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</row>
    <row r="214" spans="1:15" ht="18" x14ac:dyDescent="0.5500000000000000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</row>
    <row r="215" spans="1:15" ht="18" x14ac:dyDescent="0.5500000000000000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</row>
    <row r="216" spans="1:15" ht="18" x14ac:dyDescent="0.5500000000000000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</row>
    <row r="217" spans="1:15" ht="18" x14ac:dyDescent="0.5500000000000000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</row>
    <row r="218" spans="1:15" ht="18" x14ac:dyDescent="0.5500000000000000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</row>
    <row r="219" spans="1:15" ht="18" x14ac:dyDescent="0.5500000000000000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</row>
    <row r="220" spans="1:15" ht="18" x14ac:dyDescent="0.5500000000000000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</row>
    <row r="221" spans="1:15" ht="18" x14ac:dyDescent="0.5500000000000000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</row>
    <row r="222" spans="1:15" ht="18" x14ac:dyDescent="0.5500000000000000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</row>
    <row r="223" spans="1:15" ht="18" x14ac:dyDescent="0.5500000000000000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</row>
    <row r="224" spans="1:15" ht="18" x14ac:dyDescent="0.5500000000000000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</row>
    <row r="225" spans="1:15" ht="18" x14ac:dyDescent="0.5500000000000000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</row>
    <row r="226" spans="1:15" ht="18" x14ac:dyDescent="0.5500000000000000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</row>
    <row r="227" spans="1:15" ht="18" x14ac:dyDescent="0.5500000000000000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</row>
    <row r="228" spans="1:15" ht="18" x14ac:dyDescent="0.5500000000000000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</row>
    <row r="229" spans="1:15" ht="18" x14ac:dyDescent="0.5500000000000000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</row>
    <row r="230" spans="1:15" ht="18" x14ac:dyDescent="0.5500000000000000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</row>
    <row r="231" spans="1:15" ht="18" x14ac:dyDescent="0.5500000000000000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</row>
    <row r="232" spans="1:15" ht="18" x14ac:dyDescent="0.5500000000000000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</row>
    <row r="233" spans="1:15" ht="18" x14ac:dyDescent="0.5500000000000000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</row>
    <row r="234" spans="1:15" ht="18" x14ac:dyDescent="0.5500000000000000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</row>
    <row r="235" spans="1:15" ht="18" x14ac:dyDescent="0.5500000000000000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</row>
    <row r="236" spans="1:15" ht="18" x14ac:dyDescent="0.5500000000000000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</row>
    <row r="237" spans="1:15" ht="18" x14ac:dyDescent="0.5500000000000000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</row>
    <row r="238" spans="1:15" ht="18" x14ac:dyDescent="0.5500000000000000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</row>
    <row r="239" spans="1:15" ht="18" x14ac:dyDescent="0.5500000000000000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</row>
    <row r="240" spans="1:15" ht="18" x14ac:dyDescent="0.5500000000000000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</row>
    <row r="241" spans="1:15" ht="18" x14ac:dyDescent="0.5500000000000000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</row>
    <row r="242" spans="1:15" ht="18" x14ac:dyDescent="0.5500000000000000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</row>
    <row r="243" spans="1:15" ht="18" x14ac:dyDescent="0.5500000000000000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</row>
    <row r="244" spans="1:15" ht="18" x14ac:dyDescent="0.5500000000000000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</row>
    <row r="245" spans="1:15" ht="18" x14ac:dyDescent="0.5500000000000000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</row>
    <row r="246" spans="1:15" ht="18" x14ac:dyDescent="0.5500000000000000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</row>
    <row r="247" spans="1:15" ht="18" x14ac:dyDescent="0.5500000000000000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</row>
    <row r="248" spans="1:15" ht="18" x14ac:dyDescent="0.5500000000000000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</row>
    <row r="249" spans="1:15" ht="18" x14ac:dyDescent="0.5500000000000000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</row>
    <row r="250" spans="1:15" ht="18" x14ac:dyDescent="0.5500000000000000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</row>
    <row r="251" spans="1:15" ht="18" x14ac:dyDescent="0.5500000000000000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</row>
    <row r="252" spans="1:15" ht="18" x14ac:dyDescent="0.5500000000000000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</row>
    <row r="253" spans="1:15" ht="18" x14ac:dyDescent="0.5500000000000000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</row>
    <row r="254" spans="1:15" ht="18" x14ac:dyDescent="0.5500000000000000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</row>
    <row r="255" spans="1:15" ht="18" x14ac:dyDescent="0.5500000000000000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</row>
    <row r="256" spans="1:15" ht="18" x14ac:dyDescent="0.5500000000000000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</row>
    <row r="257" spans="1:15" ht="18" x14ac:dyDescent="0.5500000000000000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</row>
    <row r="258" spans="1:15" ht="18" x14ac:dyDescent="0.5500000000000000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</row>
    <row r="259" spans="1:15" ht="18" x14ac:dyDescent="0.5500000000000000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</row>
    <row r="260" spans="1:15" ht="18" x14ac:dyDescent="0.5500000000000000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</row>
    <row r="261" spans="1:15" ht="18" x14ac:dyDescent="0.5500000000000000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</row>
    <row r="262" spans="1:15" ht="18" x14ac:dyDescent="0.5500000000000000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</row>
    <row r="263" spans="1:15" ht="18" x14ac:dyDescent="0.5500000000000000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</row>
    <row r="264" spans="1:15" ht="18" x14ac:dyDescent="0.5500000000000000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</row>
    <row r="265" spans="1:15" ht="18" x14ac:dyDescent="0.5500000000000000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</row>
    <row r="266" spans="1:15" ht="18" x14ac:dyDescent="0.5500000000000000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</row>
    <row r="267" spans="1:15" ht="18" x14ac:dyDescent="0.5500000000000000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</row>
    <row r="268" spans="1:15" ht="18" x14ac:dyDescent="0.5500000000000000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</row>
    <row r="269" spans="1:15" ht="18" x14ac:dyDescent="0.5500000000000000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</row>
    <row r="270" spans="1:15" ht="18" x14ac:dyDescent="0.5500000000000000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</row>
    <row r="271" spans="1:15" ht="18" x14ac:dyDescent="0.5500000000000000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</row>
    <row r="272" spans="1:15" ht="18" x14ac:dyDescent="0.5500000000000000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</row>
    <row r="273" spans="1:15" ht="18" x14ac:dyDescent="0.5500000000000000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</row>
    <row r="274" spans="1:15" ht="18" x14ac:dyDescent="0.5500000000000000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</row>
    <row r="275" spans="1:15" ht="18" x14ac:dyDescent="0.5500000000000000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</row>
    <row r="276" spans="1:15" ht="18" x14ac:dyDescent="0.5500000000000000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</row>
    <row r="277" spans="1:15" ht="18" x14ac:dyDescent="0.5500000000000000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</row>
    <row r="278" spans="1:15" ht="18" x14ac:dyDescent="0.5500000000000000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</row>
    <row r="279" spans="1:15" ht="18" x14ac:dyDescent="0.5500000000000000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</row>
    <row r="280" spans="1:15" ht="18" x14ac:dyDescent="0.5500000000000000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</row>
    <row r="281" spans="1:15" ht="18" x14ac:dyDescent="0.5500000000000000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</row>
    <row r="282" spans="1:15" ht="18" x14ac:dyDescent="0.5500000000000000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</row>
    <row r="283" spans="1:15" ht="18" x14ac:dyDescent="0.5500000000000000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</row>
    <row r="284" spans="1:15" ht="18" x14ac:dyDescent="0.5500000000000000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</row>
    <row r="285" spans="1:15" ht="18" x14ac:dyDescent="0.5500000000000000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</row>
    <row r="286" spans="1:15" ht="18" x14ac:dyDescent="0.5500000000000000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</row>
    <row r="287" spans="1:15" ht="18" x14ac:dyDescent="0.5500000000000000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</row>
    <row r="288" spans="1:15" ht="18" x14ac:dyDescent="0.5500000000000000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</row>
    <row r="289" spans="1:15" ht="18" x14ac:dyDescent="0.5500000000000000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</row>
    <row r="290" spans="1:15" ht="18" x14ac:dyDescent="0.5500000000000000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</row>
    <row r="291" spans="1:15" ht="18" x14ac:dyDescent="0.5500000000000000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</row>
    <row r="292" spans="1:15" ht="18" x14ac:dyDescent="0.5500000000000000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</row>
    <row r="293" spans="1:15" ht="18" x14ac:dyDescent="0.5500000000000000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</row>
    <row r="294" spans="1:15" ht="18" x14ac:dyDescent="0.5500000000000000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</row>
    <row r="295" spans="1:15" ht="18" x14ac:dyDescent="0.5500000000000000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</row>
    <row r="296" spans="1:15" ht="18" x14ac:dyDescent="0.5500000000000000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</row>
    <row r="297" spans="1:15" ht="18" x14ac:dyDescent="0.5500000000000000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</row>
    <row r="298" spans="1:15" ht="18" x14ac:dyDescent="0.5500000000000000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</row>
    <row r="299" spans="1:15" ht="18" x14ac:dyDescent="0.5500000000000000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</row>
    <row r="300" spans="1:15" ht="18" x14ac:dyDescent="0.5500000000000000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</row>
    <row r="301" spans="1:15" ht="18" x14ac:dyDescent="0.5500000000000000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</row>
    <row r="302" spans="1:15" ht="18" x14ac:dyDescent="0.5500000000000000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</row>
    <row r="303" spans="1:15" ht="18" x14ac:dyDescent="0.5500000000000000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</row>
    <row r="304" spans="1:15" ht="18" x14ac:dyDescent="0.5500000000000000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</row>
    <row r="305" spans="1:15" ht="18" x14ac:dyDescent="0.5500000000000000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</row>
    <row r="306" spans="1:15" ht="18" x14ac:dyDescent="0.5500000000000000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</row>
    <row r="307" spans="1:15" ht="18" x14ac:dyDescent="0.5500000000000000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</row>
    <row r="308" spans="1:15" ht="18" x14ac:dyDescent="0.5500000000000000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</row>
    <row r="309" spans="1:15" ht="18" x14ac:dyDescent="0.5500000000000000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</row>
    <row r="310" spans="1:15" ht="18" x14ac:dyDescent="0.5500000000000000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</row>
    <row r="311" spans="1:15" ht="18" x14ac:dyDescent="0.5500000000000000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</row>
    <row r="312" spans="1:15" ht="18" x14ac:dyDescent="0.5500000000000000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</row>
    <row r="313" spans="1:15" ht="18" x14ac:dyDescent="0.5500000000000000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</row>
    <row r="314" spans="1:15" ht="18" x14ac:dyDescent="0.5500000000000000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</row>
    <row r="315" spans="1:15" ht="18" x14ac:dyDescent="0.5500000000000000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</row>
    <row r="316" spans="1:15" ht="18" x14ac:dyDescent="0.5500000000000000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</row>
    <row r="317" spans="1:15" ht="18" x14ac:dyDescent="0.5500000000000000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</row>
    <row r="318" spans="1:15" ht="18" x14ac:dyDescent="0.5500000000000000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</row>
    <row r="319" spans="1:15" ht="18" x14ac:dyDescent="0.5500000000000000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</row>
    <row r="320" spans="1:15" ht="18" x14ac:dyDescent="0.5500000000000000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</row>
    <row r="321" spans="1:15" ht="18" x14ac:dyDescent="0.5500000000000000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</row>
    <row r="322" spans="1:15" ht="18" x14ac:dyDescent="0.5500000000000000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</row>
    <row r="323" spans="1:15" ht="18" x14ac:dyDescent="0.5500000000000000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</row>
    <row r="324" spans="1:15" ht="18" x14ac:dyDescent="0.5500000000000000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</row>
    <row r="325" spans="1:15" ht="18" x14ac:dyDescent="0.5500000000000000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</row>
    <row r="326" spans="1:15" ht="18" x14ac:dyDescent="0.5500000000000000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</row>
    <row r="327" spans="1:15" ht="18" x14ac:dyDescent="0.5500000000000000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</row>
    <row r="328" spans="1:15" ht="18" x14ac:dyDescent="0.5500000000000000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</row>
    <row r="329" spans="1:15" ht="18" x14ac:dyDescent="0.5500000000000000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</row>
    <row r="330" spans="1:15" ht="18" x14ac:dyDescent="0.5500000000000000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</row>
    <row r="331" spans="1:15" ht="18" x14ac:dyDescent="0.5500000000000000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</row>
    <row r="332" spans="1:15" ht="18" x14ac:dyDescent="0.5500000000000000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</row>
    <row r="333" spans="1:15" ht="18" x14ac:dyDescent="0.5500000000000000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</row>
    <row r="334" spans="1:15" ht="18" x14ac:dyDescent="0.5500000000000000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</row>
    <row r="335" spans="1:15" ht="18" x14ac:dyDescent="0.5500000000000000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</row>
    <row r="336" spans="1:15" ht="18" x14ac:dyDescent="0.5500000000000000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</row>
    <row r="337" spans="1:15" ht="18" x14ac:dyDescent="0.5500000000000000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</row>
    <row r="338" spans="1:15" ht="18" x14ac:dyDescent="0.5500000000000000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</row>
    <row r="339" spans="1:15" ht="18" x14ac:dyDescent="0.5500000000000000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</row>
    <row r="340" spans="1:15" ht="18" x14ac:dyDescent="0.5500000000000000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</row>
    <row r="341" spans="1:15" ht="18" x14ac:dyDescent="0.5500000000000000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</row>
    <row r="342" spans="1:15" ht="18" x14ac:dyDescent="0.5500000000000000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</row>
    <row r="343" spans="1:15" ht="18" x14ac:dyDescent="0.5500000000000000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</row>
    <row r="344" spans="1:15" ht="18" x14ac:dyDescent="0.5500000000000000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</row>
    <row r="345" spans="1:15" ht="18" x14ac:dyDescent="0.5500000000000000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</row>
    <row r="346" spans="1:15" ht="18" x14ac:dyDescent="0.5500000000000000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</row>
    <row r="347" spans="1:15" ht="18" x14ac:dyDescent="0.5500000000000000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</row>
    <row r="348" spans="1:15" ht="18" x14ac:dyDescent="0.5500000000000000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</row>
    <row r="349" spans="1:15" ht="18" x14ac:dyDescent="0.5500000000000000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</row>
    <row r="350" spans="1:15" ht="18" x14ac:dyDescent="0.5500000000000000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</row>
    <row r="351" spans="1:15" ht="18" x14ac:dyDescent="0.5500000000000000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</row>
    <row r="352" spans="1:15" ht="18" x14ac:dyDescent="0.5500000000000000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</row>
    <row r="353" spans="1:15" ht="18" x14ac:dyDescent="0.5500000000000000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</row>
    <row r="354" spans="1:15" ht="18" x14ac:dyDescent="0.5500000000000000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</row>
    <row r="355" spans="1:15" ht="18" x14ac:dyDescent="0.5500000000000000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</row>
    <row r="356" spans="1:15" ht="18" x14ac:dyDescent="0.5500000000000000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</row>
    <row r="357" spans="1:15" ht="18" x14ac:dyDescent="0.5500000000000000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</row>
    <row r="358" spans="1:15" ht="18" x14ac:dyDescent="0.5500000000000000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</row>
    <row r="359" spans="1:15" ht="18" x14ac:dyDescent="0.5500000000000000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</row>
    <row r="360" spans="1:15" ht="18" x14ac:dyDescent="0.5500000000000000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</row>
    <row r="361" spans="1:15" ht="18" x14ac:dyDescent="0.5500000000000000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</row>
    <row r="362" spans="1:15" ht="18" x14ac:dyDescent="0.5500000000000000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</row>
    <row r="363" spans="1:15" ht="18" x14ac:dyDescent="0.5500000000000000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</row>
    <row r="364" spans="1:15" ht="18" x14ac:dyDescent="0.5500000000000000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</row>
    <row r="365" spans="1:15" ht="18" x14ac:dyDescent="0.5500000000000000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</row>
    <row r="366" spans="1:15" ht="18" x14ac:dyDescent="0.5500000000000000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</row>
    <row r="367" spans="1:15" ht="18" x14ac:dyDescent="0.5500000000000000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</row>
    <row r="368" spans="1:15" ht="18" x14ac:dyDescent="0.5500000000000000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</row>
    <row r="369" spans="1:15" ht="18" x14ac:dyDescent="0.55000000000000004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</row>
    <row r="370" spans="1:15" ht="18" x14ac:dyDescent="0.55000000000000004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</row>
    <row r="371" spans="1:15" ht="18" x14ac:dyDescent="0.55000000000000004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</row>
    <row r="372" spans="1:15" ht="18" x14ac:dyDescent="0.55000000000000004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</row>
    <row r="373" spans="1:15" ht="18" x14ac:dyDescent="0.55000000000000004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</row>
    <row r="374" spans="1:15" ht="18" x14ac:dyDescent="0.55000000000000004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</row>
    <row r="375" spans="1:15" ht="18" x14ac:dyDescent="0.55000000000000004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</row>
    <row r="376" spans="1:15" ht="18" x14ac:dyDescent="0.55000000000000004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</row>
    <row r="377" spans="1:15" ht="18" x14ac:dyDescent="0.55000000000000004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</row>
    <row r="378" spans="1:15" ht="18" x14ac:dyDescent="0.55000000000000004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</row>
    <row r="379" spans="1:15" ht="18" x14ac:dyDescent="0.55000000000000004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</row>
    <row r="380" spans="1:15" ht="18" x14ac:dyDescent="0.55000000000000004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</row>
    <row r="381" spans="1:15" ht="18" x14ac:dyDescent="0.55000000000000004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</row>
    <row r="382" spans="1:15" ht="18" x14ac:dyDescent="0.55000000000000004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</row>
    <row r="383" spans="1:15" ht="18" x14ac:dyDescent="0.55000000000000004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</row>
    <row r="384" spans="1:15" ht="18" x14ac:dyDescent="0.55000000000000004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</row>
    <row r="385" spans="1:15" ht="18" x14ac:dyDescent="0.55000000000000004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</row>
    <row r="386" spans="1:15" ht="18" x14ac:dyDescent="0.55000000000000004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</row>
    <row r="387" spans="1:15" ht="18" x14ac:dyDescent="0.55000000000000004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</row>
    <row r="388" spans="1:15" ht="18" x14ac:dyDescent="0.55000000000000004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</row>
    <row r="389" spans="1:15" ht="18" x14ac:dyDescent="0.55000000000000004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</row>
    <row r="390" spans="1:15" ht="18" x14ac:dyDescent="0.55000000000000004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</row>
    <row r="391" spans="1:15" ht="18" x14ac:dyDescent="0.55000000000000004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</row>
    <row r="392" spans="1:15" ht="18" x14ac:dyDescent="0.55000000000000004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</row>
    <row r="393" spans="1:15" ht="18" x14ac:dyDescent="0.55000000000000004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</row>
    <row r="394" spans="1:15" ht="18" x14ac:dyDescent="0.55000000000000004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</row>
    <row r="395" spans="1:15" ht="18" x14ac:dyDescent="0.55000000000000004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</row>
    <row r="396" spans="1:15" ht="18" x14ac:dyDescent="0.55000000000000004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</row>
    <row r="397" spans="1:15" ht="18" x14ac:dyDescent="0.55000000000000004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</row>
    <row r="398" spans="1:15" ht="18" x14ac:dyDescent="0.55000000000000004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</row>
    <row r="399" spans="1:15" ht="18" x14ac:dyDescent="0.55000000000000004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</row>
    <row r="400" spans="1:15" ht="18" x14ac:dyDescent="0.55000000000000004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</row>
    <row r="401" spans="1:15" ht="18" x14ac:dyDescent="0.55000000000000004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</row>
    <row r="402" spans="1:15" ht="18" x14ac:dyDescent="0.55000000000000004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</row>
    <row r="403" spans="1:15" ht="18" x14ac:dyDescent="0.55000000000000004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</row>
    <row r="404" spans="1:15" ht="18" x14ac:dyDescent="0.55000000000000004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</row>
    <row r="405" spans="1:15" ht="18" x14ac:dyDescent="0.55000000000000004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</row>
    <row r="406" spans="1:15" ht="18" x14ac:dyDescent="0.55000000000000004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</row>
    <row r="407" spans="1:15" ht="18" x14ac:dyDescent="0.55000000000000004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</row>
    <row r="408" spans="1:15" ht="18" x14ac:dyDescent="0.55000000000000004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</row>
    <row r="409" spans="1:15" ht="18" x14ac:dyDescent="0.55000000000000004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</row>
    <row r="410" spans="1:15" ht="18" x14ac:dyDescent="0.55000000000000004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</row>
    <row r="411" spans="1:15" ht="18" x14ac:dyDescent="0.55000000000000004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</row>
    <row r="412" spans="1:15" ht="18" x14ac:dyDescent="0.55000000000000004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</row>
    <row r="413" spans="1:15" ht="18" x14ac:dyDescent="0.55000000000000004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</row>
    <row r="414" spans="1:15" ht="18" x14ac:dyDescent="0.55000000000000004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</row>
    <row r="415" spans="1:15" ht="18" x14ac:dyDescent="0.55000000000000004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</row>
    <row r="416" spans="1:15" ht="18" x14ac:dyDescent="0.55000000000000004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</row>
    <row r="417" spans="1:15" ht="18" x14ac:dyDescent="0.55000000000000004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</row>
    <row r="418" spans="1:15" ht="18" x14ac:dyDescent="0.55000000000000004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</row>
    <row r="419" spans="1:15" ht="18" x14ac:dyDescent="0.55000000000000004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</row>
    <row r="420" spans="1:15" ht="18" x14ac:dyDescent="0.55000000000000004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</row>
    <row r="421" spans="1:15" ht="18" x14ac:dyDescent="0.55000000000000004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</row>
    <row r="422" spans="1:15" ht="18" x14ac:dyDescent="0.55000000000000004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</row>
    <row r="423" spans="1:15" ht="18" x14ac:dyDescent="0.55000000000000004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</row>
    <row r="424" spans="1:15" ht="18" x14ac:dyDescent="0.55000000000000004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</row>
    <row r="425" spans="1:15" ht="18" x14ac:dyDescent="0.55000000000000004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</row>
    <row r="426" spans="1:15" ht="18" x14ac:dyDescent="0.55000000000000004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</row>
    <row r="427" spans="1:15" ht="18" x14ac:dyDescent="0.55000000000000004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</row>
    <row r="428" spans="1:15" ht="18" x14ac:dyDescent="0.55000000000000004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</row>
    <row r="429" spans="1:15" ht="18" x14ac:dyDescent="0.55000000000000004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</row>
    <row r="430" spans="1:15" ht="18" x14ac:dyDescent="0.55000000000000004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</row>
    <row r="431" spans="1:15" ht="18" x14ac:dyDescent="0.55000000000000004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</row>
    <row r="432" spans="1:15" ht="18" x14ac:dyDescent="0.55000000000000004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</row>
    <row r="433" spans="1:15" ht="18" x14ac:dyDescent="0.55000000000000004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</row>
    <row r="434" spans="1:15" ht="18" x14ac:dyDescent="0.55000000000000004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</row>
    <row r="435" spans="1:15" ht="18" x14ac:dyDescent="0.55000000000000004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</row>
    <row r="436" spans="1:15" ht="18" x14ac:dyDescent="0.55000000000000004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</row>
    <row r="437" spans="1:15" ht="18" x14ac:dyDescent="0.55000000000000004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</row>
    <row r="438" spans="1:15" ht="18" x14ac:dyDescent="0.55000000000000004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</row>
    <row r="439" spans="1:15" ht="18" x14ac:dyDescent="0.55000000000000004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</row>
    <row r="440" spans="1:15" ht="18" x14ac:dyDescent="0.55000000000000004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</row>
    <row r="441" spans="1:15" ht="18" x14ac:dyDescent="0.55000000000000004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</row>
    <row r="442" spans="1:15" ht="18" x14ac:dyDescent="0.55000000000000004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</row>
    <row r="443" spans="1:15" ht="18" x14ac:dyDescent="0.55000000000000004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</row>
    <row r="444" spans="1:15" ht="18" x14ac:dyDescent="0.55000000000000004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</row>
    <row r="445" spans="1:15" ht="18" x14ac:dyDescent="0.55000000000000004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</row>
    <row r="446" spans="1:15" ht="18" x14ac:dyDescent="0.55000000000000004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</row>
    <row r="447" spans="1:15" ht="18" x14ac:dyDescent="0.55000000000000004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</row>
    <row r="448" spans="1:15" ht="18" x14ac:dyDescent="0.55000000000000004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</row>
    <row r="449" spans="1:15" ht="18" x14ac:dyDescent="0.55000000000000004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</row>
    <row r="450" spans="1:15" ht="18" x14ac:dyDescent="0.55000000000000004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</row>
    <row r="451" spans="1:15" ht="18" x14ac:dyDescent="0.55000000000000004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</row>
    <row r="452" spans="1:15" ht="18" x14ac:dyDescent="0.55000000000000004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</row>
    <row r="453" spans="1:15" ht="18" x14ac:dyDescent="0.55000000000000004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</row>
    <row r="454" spans="1:15" ht="18" x14ac:dyDescent="0.55000000000000004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</row>
    <row r="455" spans="1:15" ht="18" x14ac:dyDescent="0.55000000000000004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</row>
    <row r="456" spans="1:15" ht="18" x14ac:dyDescent="0.55000000000000004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</row>
    <row r="457" spans="1:15" ht="18" x14ac:dyDescent="0.55000000000000004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</row>
    <row r="458" spans="1:15" ht="18" x14ac:dyDescent="0.55000000000000004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</row>
    <row r="459" spans="1:15" ht="18" x14ac:dyDescent="0.55000000000000004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</row>
    <row r="460" spans="1:15" ht="18" x14ac:dyDescent="0.55000000000000004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</row>
    <row r="461" spans="1:15" ht="18" x14ac:dyDescent="0.55000000000000004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</row>
    <row r="462" spans="1:15" ht="18" x14ac:dyDescent="0.55000000000000004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</row>
    <row r="463" spans="1:15" ht="18" x14ac:dyDescent="0.55000000000000004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</row>
    <row r="464" spans="1:15" ht="18" x14ac:dyDescent="0.55000000000000004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</row>
    <row r="465" spans="1:15" ht="18" x14ac:dyDescent="0.55000000000000004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</row>
    <row r="466" spans="1:15" ht="18" x14ac:dyDescent="0.55000000000000004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</row>
    <row r="467" spans="1:15" ht="18" x14ac:dyDescent="0.55000000000000004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</row>
    <row r="468" spans="1:15" ht="18" x14ac:dyDescent="0.55000000000000004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</row>
    <row r="469" spans="1:15" ht="18" x14ac:dyDescent="0.55000000000000004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</row>
    <row r="470" spans="1:15" ht="18" x14ac:dyDescent="0.55000000000000004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</row>
    <row r="471" spans="1:15" ht="18" x14ac:dyDescent="0.55000000000000004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</row>
    <row r="472" spans="1:15" ht="18" x14ac:dyDescent="0.55000000000000004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</row>
    <row r="473" spans="1:15" ht="18" x14ac:dyDescent="0.55000000000000004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</row>
    <row r="474" spans="1:15" ht="18" x14ac:dyDescent="0.55000000000000004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</row>
    <row r="475" spans="1:15" ht="18" x14ac:dyDescent="0.55000000000000004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</row>
    <row r="476" spans="1:15" ht="18" x14ac:dyDescent="0.55000000000000004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</row>
    <row r="477" spans="1:15" ht="18" x14ac:dyDescent="0.55000000000000004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</row>
    <row r="478" spans="1:15" ht="18" x14ac:dyDescent="0.55000000000000004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</row>
    <row r="479" spans="1:15" ht="18" x14ac:dyDescent="0.55000000000000004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</row>
    <row r="480" spans="1:15" ht="18" x14ac:dyDescent="0.55000000000000004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</row>
    <row r="481" spans="1:15" ht="18" x14ac:dyDescent="0.55000000000000004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</row>
    <row r="482" spans="1:15" ht="18" x14ac:dyDescent="0.55000000000000004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</row>
    <row r="483" spans="1:15" ht="18" x14ac:dyDescent="0.55000000000000004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</row>
    <row r="484" spans="1:15" ht="18" x14ac:dyDescent="0.55000000000000004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</row>
    <row r="485" spans="1:15" ht="18" x14ac:dyDescent="0.55000000000000004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</row>
    <row r="486" spans="1:15" ht="18" x14ac:dyDescent="0.55000000000000004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</row>
    <row r="487" spans="1:15" ht="18" x14ac:dyDescent="0.55000000000000004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</row>
    <row r="488" spans="1:15" ht="18" x14ac:dyDescent="0.55000000000000004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</row>
    <row r="489" spans="1:15" ht="18" x14ac:dyDescent="0.55000000000000004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</row>
    <row r="490" spans="1:15" ht="18" x14ac:dyDescent="0.55000000000000004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</row>
    <row r="491" spans="1:15" ht="18" x14ac:dyDescent="0.55000000000000004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</row>
    <row r="492" spans="1:15" ht="18" x14ac:dyDescent="0.55000000000000004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</row>
    <row r="493" spans="1:15" ht="18" x14ac:dyDescent="0.55000000000000004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</row>
    <row r="494" spans="1:15" ht="18" x14ac:dyDescent="0.55000000000000004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</row>
    <row r="495" spans="1:15" ht="18" x14ac:dyDescent="0.55000000000000004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</row>
    <row r="496" spans="1:15" ht="18" x14ac:dyDescent="0.55000000000000004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</row>
    <row r="497" spans="1:15" ht="18" x14ac:dyDescent="0.55000000000000004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</row>
    <row r="498" spans="1:15" ht="18" x14ac:dyDescent="0.55000000000000004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</row>
    <row r="499" spans="1:15" ht="18" x14ac:dyDescent="0.55000000000000004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</row>
    <row r="500" spans="1:15" ht="18" x14ac:dyDescent="0.55000000000000004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</row>
    <row r="501" spans="1:15" ht="18" x14ac:dyDescent="0.55000000000000004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</row>
    <row r="502" spans="1:15" ht="18" x14ac:dyDescent="0.55000000000000004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</row>
    <row r="503" spans="1:15" ht="18" x14ac:dyDescent="0.55000000000000004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</row>
    <row r="504" spans="1:15" ht="18" x14ac:dyDescent="0.55000000000000004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</row>
    <row r="505" spans="1:15" ht="18" x14ac:dyDescent="0.55000000000000004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</row>
    <row r="506" spans="1:15" ht="18" x14ac:dyDescent="0.55000000000000004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</row>
    <row r="507" spans="1:15" ht="18" x14ac:dyDescent="0.55000000000000004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</row>
    <row r="508" spans="1:15" ht="18" x14ac:dyDescent="0.55000000000000004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</row>
    <row r="509" spans="1:15" ht="18" x14ac:dyDescent="0.55000000000000004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</row>
    <row r="510" spans="1:15" ht="18" x14ac:dyDescent="0.55000000000000004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</row>
    <row r="511" spans="1:15" ht="18" x14ac:dyDescent="0.55000000000000004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</row>
    <row r="512" spans="1:15" ht="18" x14ac:dyDescent="0.55000000000000004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</row>
    <row r="513" spans="1:15" ht="18" x14ac:dyDescent="0.55000000000000004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</row>
    <row r="514" spans="1:15" ht="18" x14ac:dyDescent="0.55000000000000004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</row>
    <row r="515" spans="1:15" ht="18" x14ac:dyDescent="0.55000000000000004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</row>
    <row r="516" spans="1:15" ht="18" x14ac:dyDescent="0.55000000000000004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</row>
    <row r="517" spans="1:15" ht="18" x14ac:dyDescent="0.55000000000000004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</row>
    <row r="518" spans="1:15" ht="18" x14ac:dyDescent="0.55000000000000004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</row>
    <row r="519" spans="1:15" ht="18" x14ac:dyDescent="0.55000000000000004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</row>
    <row r="520" spans="1:15" ht="18" x14ac:dyDescent="0.55000000000000004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</row>
    <row r="521" spans="1:15" ht="18" x14ac:dyDescent="0.55000000000000004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</row>
    <row r="522" spans="1:15" ht="18" x14ac:dyDescent="0.55000000000000004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</row>
    <row r="523" spans="1:15" ht="18" x14ac:dyDescent="0.55000000000000004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</row>
    <row r="524" spans="1:15" ht="18" x14ac:dyDescent="0.55000000000000004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</row>
    <row r="525" spans="1:15" ht="18" x14ac:dyDescent="0.55000000000000004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</row>
    <row r="526" spans="1:15" ht="18" x14ac:dyDescent="0.55000000000000004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</row>
    <row r="527" spans="1:15" ht="18" x14ac:dyDescent="0.55000000000000004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</row>
    <row r="528" spans="1:15" ht="18" x14ac:dyDescent="0.55000000000000004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</row>
    <row r="529" spans="1:15" ht="18" x14ac:dyDescent="0.55000000000000004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</row>
    <row r="530" spans="1:15" ht="18" x14ac:dyDescent="0.55000000000000004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</row>
    <row r="531" spans="1:15" ht="18" x14ac:dyDescent="0.55000000000000004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</row>
    <row r="532" spans="1:15" ht="18" x14ac:dyDescent="0.55000000000000004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</row>
    <row r="533" spans="1:15" ht="18" x14ac:dyDescent="0.55000000000000004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</row>
    <row r="534" spans="1:15" ht="18" x14ac:dyDescent="0.55000000000000004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</row>
    <row r="535" spans="1:15" ht="18" x14ac:dyDescent="0.55000000000000004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</row>
    <row r="536" spans="1:15" ht="18" x14ac:dyDescent="0.55000000000000004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</row>
    <row r="537" spans="1:15" ht="18" x14ac:dyDescent="0.55000000000000004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</row>
    <row r="538" spans="1:15" ht="18" x14ac:dyDescent="0.55000000000000004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</row>
    <row r="539" spans="1:15" ht="18" x14ac:dyDescent="0.55000000000000004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</row>
    <row r="540" spans="1:15" ht="18" x14ac:dyDescent="0.55000000000000004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</row>
    <row r="541" spans="1:15" ht="18" x14ac:dyDescent="0.55000000000000004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</row>
    <row r="542" spans="1:15" ht="18" x14ac:dyDescent="0.55000000000000004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</row>
    <row r="543" spans="1:15" ht="18" x14ac:dyDescent="0.55000000000000004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</row>
    <row r="544" spans="1:15" ht="18" x14ac:dyDescent="0.55000000000000004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</row>
    <row r="545" spans="1:15" ht="18" x14ac:dyDescent="0.55000000000000004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</row>
    <row r="546" spans="1:15" ht="18" x14ac:dyDescent="0.55000000000000004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</row>
    <row r="547" spans="1:15" ht="18" x14ac:dyDescent="0.55000000000000004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</row>
    <row r="548" spans="1:15" ht="18" x14ac:dyDescent="0.55000000000000004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</row>
    <row r="549" spans="1:15" ht="18" x14ac:dyDescent="0.55000000000000004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</row>
    <row r="550" spans="1:15" ht="18" x14ac:dyDescent="0.55000000000000004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</row>
    <row r="551" spans="1:15" ht="18" x14ac:dyDescent="0.55000000000000004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</row>
    <row r="552" spans="1:15" ht="18" x14ac:dyDescent="0.55000000000000004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</row>
    <row r="553" spans="1:15" ht="18" x14ac:dyDescent="0.55000000000000004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</row>
    <row r="554" spans="1:15" ht="18" x14ac:dyDescent="0.55000000000000004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</row>
    <row r="555" spans="1:15" ht="18" x14ac:dyDescent="0.55000000000000004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</row>
    <row r="556" spans="1:15" ht="18" x14ac:dyDescent="0.55000000000000004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</row>
    <row r="557" spans="1:15" ht="18" x14ac:dyDescent="0.55000000000000004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</row>
    <row r="558" spans="1:15" ht="18" x14ac:dyDescent="0.55000000000000004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</row>
    <row r="559" spans="1:15" ht="18" x14ac:dyDescent="0.55000000000000004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</row>
    <row r="560" spans="1:15" ht="18" x14ac:dyDescent="0.55000000000000004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</row>
    <row r="561" spans="1:15" ht="18" x14ac:dyDescent="0.55000000000000004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</row>
    <row r="562" spans="1:15" ht="18" x14ac:dyDescent="0.55000000000000004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</row>
    <row r="563" spans="1:15" ht="18" x14ac:dyDescent="0.55000000000000004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</row>
    <row r="564" spans="1:15" ht="18" x14ac:dyDescent="0.55000000000000004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</row>
    <row r="565" spans="1:15" ht="18" x14ac:dyDescent="0.55000000000000004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</row>
    <row r="566" spans="1:15" ht="18" x14ac:dyDescent="0.55000000000000004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</row>
    <row r="567" spans="1:15" ht="18" x14ac:dyDescent="0.55000000000000004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</row>
    <row r="568" spans="1:15" ht="18" x14ac:dyDescent="0.55000000000000004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</row>
    <row r="569" spans="1:15" ht="18" x14ac:dyDescent="0.55000000000000004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</row>
    <row r="570" spans="1:15" ht="18" x14ac:dyDescent="0.55000000000000004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</row>
    <row r="571" spans="1:15" ht="18" x14ac:dyDescent="0.55000000000000004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</row>
    <row r="572" spans="1:15" ht="18" x14ac:dyDescent="0.55000000000000004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</row>
    <row r="573" spans="1:15" ht="18" x14ac:dyDescent="0.55000000000000004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</row>
    <row r="574" spans="1:15" ht="18" x14ac:dyDescent="0.55000000000000004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</row>
    <row r="575" spans="1:15" ht="18" x14ac:dyDescent="0.55000000000000004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</row>
    <row r="576" spans="1:15" ht="18" x14ac:dyDescent="0.55000000000000004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</row>
    <row r="577" spans="1:15" ht="18" x14ac:dyDescent="0.55000000000000004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</row>
    <row r="578" spans="1:15" ht="18" x14ac:dyDescent="0.55000000000000004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</row>
    <row r="579" spans="1:15" ht="18" x14ac:dyDescent="0.55000000000000004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</row>
    <row r="580" spans="1:15" ht="18" x14ac:dyDescent="0.55000000000000004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</row>
    <row r="581" spans="1:15" ht="18" x14ac:dyDescent="0.55000000000000004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</row>
    <row r="582" spans="1:15" ht="18" x14ac:dyDescent="0.55000000000000004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</row>
    <row r="583" spans="1:15" ht="18" x14ac:dyDescent="0.55000000000000004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</row>
    <row r="584" spans="1:15" ht="18" x14ac:dyDescent="0.55000000000000004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</row>
    <row r="585" spans="1:15" ht="18" x14ac:dyDescent="0.55000000000000004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</row>
    <row r="586" spans="1:15" ht="18" x14ac:dyDescent="0.55000000000000004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</row>
    <row r="587" spans="1:15" ht="18" x14ac:dyDescent="0.55000000000000004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</row>
    <row r="588" spans="1:15" ht="18" x14ac:dyDescent="0.55000000000000004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</row>
    <row r="589" spans="1:15" ht="18" x14ac:dyDescent="0.55000000000000004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</row>
    <row r="590" spans="1:15" ht="18" x14ac:dyDescent="0.55000000000000004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</row>
    <row r="591" spans="1:15" ht="18" x14ac:dyDescent="0.55000000000000004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</row>
    <row r="592" spans="1:15" ht="18" x14ac:dyDescent="0.55000000000000004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</row>
    <row r="593" spans="1:15" ht="18" x14ac:dyDescent="0.55000000000000004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</row>
    <row r="594" spans="1:15" ht="18" x14ac:dyDescent="0.55000000000000004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</row>
    <row r="595" spans="1:15" ht="18" x14ac:dyDescent="0.55000000000000004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</row>
    <row r="596" spans="1:15" ht="18" x14ac:dyDescent="0.55000000000000004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</row>
    <row r="597" spans="1:15" ht="18" x14ac:dyDescent="0.55000000000000004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</row>
    <row r="598" spans="1:15" ht="18" x14ac:dyDescent="0.55000000000000004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</row>
    <row r="599" spans="1:15" ht="18" x14ac:dyDescent="0.55000000000000004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</row>
    <row r="600" spans="1:15" ht="18" x14ac:dyDescent="0.55000000000000004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</row>
    <row r="601" spans="1:15" ht="18" x14ac:dyDescent="0.55000000000000004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</row>
    <row r="602" spans="1:15" ht="18" x14ac:dyDescent="0.55000000000000004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</row>
    <row r="603" spans="1:15" ht="18" x14ac:dyDescent="0.55000000000000004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</row>
    <row r="604" spans="1:15" ht="18" x14ac:dyDescent="0.55000000000000004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</row>
    <row r="605" spans="1:15" ht="18" x14ac:dyDescent="0.55000000000000004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</row>
    <row r="606" spans="1:15" ht="18" x14ac:dyDescent="0.55000000000000004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</row>
    <row r="607" spans="1:15" ht="18" x14ac:dyDescent="0.55000000000000004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</row>
    <row r="608" spans="1:15" ht="18" x14ac:dyDescent="0.55000000000000004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</row>
    <row r="609" spans="1:15" ht="18" x14ac:dyDescent="0.55000000000000004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</row>
    <row r="610" spans="1:15" ht="18" x14ac:dyDescent="0.55000000000000004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</row>
    <row r="611" spans="1:15" ht="18" x14ac:dyDescent="0.55000000000000004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</row>
    <row r="612" spans="1:15" ht="18" x14ac:dyDescent="0.55000000000000004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</row>
    <row r="613" spans="1:15" ht="18" x14ac:dyDescent="0.55000000000000004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</row>
    <row r="614" spans="1:15" ht="18" x14ac:dyDescent="0.55000000000000004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</row>
    <row r="615" spans="1:15" ht="18" x14ac:dyDescent="0.55000000000000004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</row>
    <row r="616" spans="1:15" ht="18" x14ac:dyDescent="0.55000000000000004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</row>
    <row r="617" spans="1:15" ht="18" x14ac:dyDescent="0.55000000000000004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</row>
    <row r="618" spans="1:15" ht="18" x14ac:dyDescent="0.55000000000000004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</row>
    <row r="619" spans="1:15" ht="18" x14ac:dyDescent="0.55000000000000004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</row>
    <row r="620" spans="1:15" ht="18" x14ac:dyDescent="0.55000000000000004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</row>
    <row r="621" spans="1:15" ht="18" x14ac:dyDescent="0.55000000000000004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</row>
    <row r="622" spans="1:15" ht="18" x14ac:dyDescent="0.55000000000000004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</row>
    <row r="623" spans="1:15" ht="18" x14ac:dyDescent="0.55000000000000004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</row>
    <row r="624" spans="1:15" ht="18" x14ac:dyDescent="0.55000000000000004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</row>
    <row r="625" spans="1:15" ht="18" x14ac:dyDescent="0.55000000000000004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</row>
    <row r="626" spans="1:15" ht="18" x14ac:dyDescent="0.55000000000000004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</row>
    <row r="627" spans="1:15" ht="18" x14ac:dyDescent="0.55000000000000004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</row>
    <row r="628" spans="1:15" ht="18" x14ac:dyDescent="0.55000000000000004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</row>
    <row r="629" spans="1:15" ht="18" x14ac:dyDescent="0.55000000000000004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</row>
    <row r="630" spans="1:15" ht="18" x14ac:dyDescent="0.55000000000000004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</row>
    <row r="631" spans="1:15" ht="18" x14ac:dyDescent="0.55000000000000004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</row>
    <row r="632" spans="1:15" ht="18" x14ac:dyDescent="0.55000000000000004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</row>
    <row r="633" spans="1:15" ht="18" x14ac:dyDescent="0.55000000000000004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</row>
    <row r="634" spans="1:15" ht="18" x14ac:dyDescent="0.55000000000000004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</row>
    <row r="635" spans="1:15" ht="18" x14ac:dyDescent="0.55000000000000004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</row>
    <row r="636" spans="1:15" ht="18" x14ac:dyDescent="0.55000000000000004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</row>
    <row r="637" spans="1:15" ht="18" x14ac:dyDescent="0.55000000000000004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</row>
    <row r="638" spans="1:15" ht="18" x14ac:dyDescent="0.55000000000000004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</row>
    <row r="639" spans="1:15" ht="18" x14ac:dyDescent="0.55000000000000004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</row>
    <row r="640" spans="1:15" ht="18" x14ac:dyDescent="0.55000000000000004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</row>
    <row r="641" spans="1:15" ht="18" x14ac:dyDescent="0.55000000000000004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</row>
    <row r="642" spans="1:15" ht="18" x14ac:dyDescent="0.55000000000000004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</row>
    <row r="643" spans="1:15" ht="18" x14ac:dyDescent="0.55000000000000004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</row>
    <row r="644" spans="1:15" ht="18" x14ac:dyDescent="0.55000000000000004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</row>
    <row r="645" spans="1:15" ht="18" x14ac:dyDescent="0.55000000000000004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</row>
    <row r="646" spans="1:15" ht="18" x14ac:dyDescent="0.55000000000000004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</row>
    <row r="647" spans="1:15" ht="18" x14ac:dyDescent="0.55000000000000004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</row>
    <row r="648" spans="1:15" ht="18" x14ac:dyDescent="0.55000000000000004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</row>
    <row r="649" spans="1:15" ht="18" x14ac:dyDescent="0.55000000000000004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</row>
    <row r="650" spans="1:15" ht="18" x14ac:dyDescent="0.55000000000000004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</row>
    <row r="651" spans="1:15" ht="18" x14ac:dyDescent="0.55000000000000004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</row>
    <row r="652" spans="1:15" ht="18" x14ac:dyDescent="0.55000000000000004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</row>
    <row r="653" spans="1:15" ht="18" x14ac:dyDescent="0.55000000000000004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</row>
    <row r="654" spans="1:15" ht="18" x14ac:dyDescent="0.55000000000000004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</row>
    <row r="655" spans="1:15" ht="18" x14ac:dyDescent="0.55000000000000004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</row>
    <row r="656" spans="1:15" ht="18" x14ac:dyDescent="0.55000000000000004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</row>
    <row r="657" spans="1:15" ht="18" x14ac:dyDescent="0.55000000000000004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</row>
    <row r="658" spans="1:15" ht="18" x14ac:dyDescent="0.55000000000000004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</row>
    <row r="659" spans="1:15" ht="18" x14ac:dyDescent="0.55000000000000004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</row>
    <row r="660" spans="1:15" ht="18" x14ac:dyDescent="0.55000000000000004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</row>
    <row r="661" spans="1:15" ht="18" x14ac:dyDescent="0.55000000000000004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</row>
    <row r="662" spans="1:15" ht="18" x14ac:dyDescent="0.55000000000000004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</row>
    <row r="663" spans="1:15" ht="18" x14ac:dyDescent="0.55000000000000004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</row>
    <row r="664" spans="1:15" ht="18" x14ac:dyDescent="0.55000000000000004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</row>
    <row r="665" spans="1:15" ht="18" x14ac:dyDescent="0.55000000000000004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</row>
    <row r="666" spans="1:15" ht="18" x14ac:dyDescent="0.55000000000000004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</row>
    <row r="667" spans="1:15" ht="18" x14ac:dyDescent="0.55000000000000004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</row>
    <row r="668" spans="1:15" ht="18" x14ac:dyDescent="0.55000000000000004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</row>
    <row r="669" spans="1:15" ht="18" x14ac:dyDescent="0.55000000000000004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</row>
    <row r="670" spans="1:15" ht="18" x14ac:dyDescent="0.55000000000000004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</row>
    <row r="671" spans="1:15" ht="18" x14ac:dyDescent="0.55000000000000004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</row>
    <row r="672" spans="1:15" ht="18" x14ac:dyDescent="0.55000000000000004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</row>
    <row r="673" spans="1:15" ht="18" x14ac:dyDescent="0.55000000000000004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</row>
    <row r="674" spans="1:15" ht="18" x14ac:dyDescent="0.55000000000000004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</row>
    <row r="675" spans="1:15" ht="18" x14ac:dyDescent="0.55000000000000004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</row>
    <row r="676" spans="1:15" ht="18" x14ac:dyDescent="0.55000000000000004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</row>
    <row r="677" spans="1:15" ht="18" x14ac:dyDescent="0.55000000000000004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</row>
    <row r="678" spans="1:15" ht="18" x14ac:dyDescent="0.55000000000000004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</row>
    <row r="679" spans="1:15" ht="18" x14ac:dyDescent="0.55000000000000004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</row>
    <row r="680" spans="1:15" ht="18" x14ac:dyDescent="0.55000000000000004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</row>
    <row r="681" spans="1:15" ht="18" x14ac:dyDescent="0.55000000000000004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</row>
    <row r="682" spans="1:15" ht="18" x14ac:dyDescent="0.55000000000000004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</row>
    <row r="683" spans="1:15" ht="18" x14ac:dyDescent="0.55000000000000004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</row>
    <row r="684" spans="1:15" ht="18" x14ac:dyDescent="0.55000000000000004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</row>
    <row r="685" spans="1:15" ht="18" x14ac:dyDescent="0.55000000000000004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</row>
    <row r="686" spans="1:15" ht="18" x14ac:dyDescent="0.55000000000000004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</row>
    <row r="687" spans="1:15" ht="18" x14ac:dyDescent="0.55000000000000004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</row>
    <row r="688" spans="1:15" ht="18" x14ac:dyDescent="0.55000000000000004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</row>
    <row r="689" spans="1:15" ht="18" x14ac:dyDescent="0.55000000000000004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</row>
    <row r="690" spans="1:15" ht="18" x14ac:dyDescent="0.55000000000000004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</row>
    <row r="691" spans="1:15" ht="18" x14ac:dyDescent="0.55000000000000004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</row>
    <row r="692" spans="1:15" ht="18" x14ac:dyDescent="0.55000000000000004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</row>
    <row r="693" spans="1:15" ht="18" x14ac:dyDescent="0.55000000000000004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</row>
    <row r="694" spans="1:15" ht="18" x14ac:dyDescent="0.55000000000000004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</row>
    <row r="695" spans="1:15" ht="18" x14ac:dyDescent="0.55000000000000004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</row>
    <row r="696" spans="1:15" ht="18" x14ac:dyDescent="0.55000000000000004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</row>
    <row r="697" spans="1:15" ht="18" x14ac:dyDescent="0.55000000000000004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</row>
    <row r="698" spans="1:15" ht="18" x14ac:dyDescent="0.55000000000000004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</row>
    <row r="699" spans="1:15" ht="18" x14ac:dyDescent="0.55000000000000004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</row>
    <row r="700" spans="1:15" ht="18" x14ac:dyDescent="0.55000000000000004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</row>
    <row r="701" spans="1:15" ht="18" x14ac:dyDescent="0.55000000000000004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</row>
    <row r="702" spans="1:15" ht="18" x14ac:dyDescent="0.55000000000000004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</row>
    <row r="703" spans="1:15" ht="18" x14ac:dyDescent="0.55000000000000004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</row>
    <row r="704" spans="1:15" ht="18" x14ac:dyDescent="0.55000000000000004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</row>
    <row r="705" spans="1:15" ht="18" x14ac:dyDescent="0.55000000000000004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</row>
    <row r="706" spans="1:15" ht="18" x14ac:dyDescent="0.55000000000000004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</row>
    <row r="707" spans="1:15" ht="18" x14ac:dyDescent="0.55000000000000004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</row>
    <row r="708" spans="1:15" ht="18" x14ac:dyDescent="0.55000000000000004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</row>
    <row r="709" spans="1:15" ht="18" x14ac:dyDescent="0.55000000000000004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</row>
    <row r="710" spans="1:15" ht="18" x14ac:dyDescent="0.55000000000000004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</row>
    <row r="711" spans="1:15" ht="18" x14ac:dyDescent="0.55000000000000004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</row>
    <row r="712" spans="1:15" ht="18" x14ac:dyDescent="0.55000000000000004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</row>
    <row r="713" spans="1:15" ht="18" x14ac:dyDescent="0.55000000000000004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</row>
    <row r="714" spans="1:15" ht="18" x14ac:dyDescent="0.55000000000000004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</row>
    <row r="715" spans="1:15" ht="18" x14ac:dyDescent="0.55000000000000004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</row>
    <row r="716" spans="1:15" ht="18" x14ac:dyDescent="0.55000000000000004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</row>
    <row r="717" spans="1:15" ht="18" x14ac:dyDescent="0.55000000000000004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</row>
    <row r="718" spans="1:15" ht="18" x14ac:dyDescent="0.55000000000000004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</row>
    <row r="719" spans="1:15" ht="18" x14ac:dyDescent="0.55000000000000004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</row>
    <row r="720" spans="1:15" ht="18" x14ac:dyDescent="0.55000000000000004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</row>
    <row r="721" spans="1:15" ht="18" x14ac:dyDescent="0.55000000000000004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</row>
    <row r="722" spans="1:15" ht="18" x14ac:dyDescent="0.55000000000000004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</row>
    <row r="723" spans="1:15" ht="18" x14ac:dyDescent="0.55000000000000004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</row>
    <row r="724" spans="1:15" ht="18" x14ac:dyDescent="0.55000000000000004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</row>
    <row r="725" spans="1:15" ht="18" x14ac:dyDescent="0.55000000000000004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</row>
    <row r="726" spans="1:15" ht="18" x14ac:dyDescent="0.55000000000000004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</row>
    <row r="727" spans="1:15" ht="18" x14ac:dyDescent="0.55000000000000004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</row>
    <row r="728" spans="1:15" ht="18" x14ac:dyDescent="0.55000000000000004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</row>
    <row r="729" spans="1:15" ht="18" x14ac:dyDescent="0.55000000000000004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</row>
    <row r="730" spans="1:15" ht="18" x14ac:dyDescent="0.55000000000000004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</row>
    <row r="731" spans="1:15" ht="18" x14ac:dyDescent="0.55000000000000004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</row>
    <row r="732" spans="1:15" ht="18" x14ac:dyDescent="0.55000000000000004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</row>
    <row r="733" spans="1:15" ht="18" x14ac:dyDescent="0.55000000000000004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</row>
    <row r="734" spans="1:15" ht="18" x14ac:dyDescent="0.55000000000000004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</row>
    <row r="735" spans="1:15" ht="18" x14ac:dyDescent="0.55000000000000004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</row>
    <row r="736" spans="1:15" ht="18" x14ac:dyDescent="0.55000000000000004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</row>
    <row r="737" spans="1:15" ht="18" x14ac:dyDescent="0.55000000000000004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</row>
    <row r="738" spans="1:15" ht="18" x14ac:dyDescent="0.55000000000000004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</row>
    <row r="739" spans="1:15" ht="18" x14ac:dyDescent="0.55000000000000004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</row>
    <row r="740" spans="1:15" ht="18" x14ac:dyDescent="0.55000000000000004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</row>
    <row r="741" spans="1:15" ht="18" x14ac:dyDescent="0.55000000000000004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</row>
    <row r="742" spans="1:15" ht="18" x14ac:dyDescent="0.55000000000000004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</row>
    <row r="743" spans="1:15" ht="18" x14ac:dyDescent="0.55000000000000004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</row>
    <row r="744" spans="1:15" ht="18" x14ac:dyDescent="0.55000000000000004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</row>
    <row r="745" spans="1:15" ht="18" x14ac:dyDescent="0.55000000000000004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</row>
    <row r="746" spans="1:15" ht="18" x14ac:dyDescent="0.55000000000000004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</row>
    <row r="747" spans="1:15" ht="18" x14ac:dyDescent="0.55000000000000004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</row>
    <row r="748" spans="1:15" ht="18" x14ac:dyDescent="0.55000000000000004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</row>
    <row r="749" spans="1:15" ht="18" x14ac:dyDescent="0.55000000000000004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</row>
    <row r="750" spans="1:15" ht="18" x14ac:dyDescent="0.55000000000000004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</row>
    <row r="751" spans="1:15" ht="18" x14ac:dyDescent="0.55000000000000004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</row>
    <row r="752" spans="1:15" ht="18" x14ac:dyDescent="0.55000000000000004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</row>
    <row r="753" spans="1:15" ht="18" x14ac:dyDescent="0.55000000000000004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</row>
    <row r="754" spans="1:15" ht="18" x14ac:dyDescent="0.55000000000000004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</row>
    <row r="755" spans="1:15" ht="18" x14ac:dyDescent="0.55000000000000004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</row>
    <row r="756" spans="1:15" ht="18" x14ac:dyDescent="0.55000000000000004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</row>
    <row r="757" spans="1:15" ht="18" x14ac:dyDescent="0.55000000000000004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</row>
    <row r="758" spans="1:15" ht="18" x14ac:dyDescent="0.55000000000000004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</row>
    <row r="759" spans="1:15" ht="18" x14ac:dyDescent="0.55000000000000004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</row>
    <row r="760" spans="1:15" ht="18" x14ac:dyDescent="0.55000000000000004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</row>
    <row r="761" spans="1:15" ht="18" x14ac:dyDescent="0.55000000000000004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</row>
    <row r="762" spans="1:15" ht="18" x14ac:dyDescent="0.55000000000000004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</row>
    <row r="763" spans="1:15" ht="18" x14ac:dyDescent="0.55000000000000004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</row>
    <row r="764" spans="1:15" ht="18" x14ac:dyDescent="0.55000000000000004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</row>
    <row r="765" spans="1:15" ht="18" x14ac:dyDescent="0.55000000000000004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</row>
    <row r="766" spans="1:15" ht="18" x14ac:dyDescent="0.55000000000000004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</row>
    <row r="767" spans="1:15" ht="18" x14ac:dyDescent="0.55000000000000004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</row>
    <row r="768" spans="1:15" ht="18" x14ac:dyDescent="0.55000000000000004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</row>
    <row r="769" spans="1:15" ht="18" x14ac:dyDescent="0.55000000000000004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</row>
    <row r="770" spans="1:15" ht="18" x14ac:dyDescent="0.55000000000000004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</row>
    <row r="771" spans="1:15" ht="18" x14ac:dyDescent="0.55000000000000004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</row>
    <row r="772" spans="1:15" ht="18" x14ac:dyDescent="0.55000000000000004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</row>
    <row r="773" spans="1:15" ht="18" x14ac:dyDescent="0.55000000000000004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</row>
    <row r="774" spans="1:15" ht="18" x14ac:dyDescent="0.55000000000000004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</row>
    <row r="775" spans="1:15" ht="18" x14ac:dyDescent="0.55000000000000004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</row>
    <row r="776" spans="1:15" ht="18" x14ac:dyDescent="0.55000000000000004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</row>
    <row r="777" spans="1:15" ht="18" x14ac:dyDescent="0.55000000000000004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</row>
    <row r="778" spans="1:15" ht="18" x14ac:dyDescent="0.55000000000000004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</row>
    <row r="779" spans="1:15" ht="18" x14ac:dyDescent="0.55000000000000004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</row>
    <row r="780" spans="1:15" ht="18" x14ac:dyDescent="0.55000000000000004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</row>
    <row r="781" spans="1:15" ht="18" x14ac:dyDescent="0.55000000000000004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</row>
    <row r="782" spans="1:15" ht="18" x14ac:dyDescent="0.55000000000000004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</row>
    <row r="783" spans="1:15" ht="18" x14ac:dyDescent="0.55000000000000004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</row>
    <row r="784" spans="1:15" ht="18" x14ac:dyDescent="0.55000000000000004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</row>
    <row r="785" spans="1:15" ht="18" x14ac:dyDescent="0.55000000000000004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</row>
    <row r="786" spans="1:15" ht="18" x14ac:dyDescent="0.55000000000000004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</row>
    <row r="787" spans="1:15" ht="18" x14ac:dyDescent="0.55000000000000004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</row>
    <row r="788" spans="1:15" ht="18" x14ac:dyDescent="0.55000000000000004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</row>
    <row r="789" spans="1:15" ht="18" x14ac:dyDescent="0.55000000000000004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</row>
    <row r="790" spans="1:15" ht="18" x14ac:dyDescent="0.55000000000000004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</row>
    <row r="791" spans="1:15" ht="18" x14ac:dyDescent="0.55000000000000004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</row>
    <row r="792" spans="1:15" ht="18" x14ac:dyDescent="0.55000000000000004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</row>
    <row r="793" spans="1:15" ht="18" x14ac:dyDescent="0.55000000000000004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</row>
    <row r="794" spans="1:15" ht="18" x14ac:dyDescent="0.55000000000000004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</row>
    <row r="795" spans="1:15" ht="18" x14ac:dyDescent="0.55000000000000004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</row>
    <row r="796" spans="1:15" ht="18" x14ac:dyDescent="0.55000000000000004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</row>
    <row r="797" spans="1:15" ht="18" x14ac:dyDescent="0.55000000000000004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</row>
    <row r="798" spans="1:15" ht="18" x14ac:dyDescent="0.55000000000000004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</row>
    <row r="799" spans="1:15" ht="18" x14ac:dyDescent="0.55000000000000004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</row>
    <row r="800" spans="1:15" ht="18" x14ac:dyDescent="0.55000000000000004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</row>
    <row r="801" spans="1:15" ht="18" x14ac:dyDescent="0.55000000000000004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</row>
    <row r="802" spans="1:15" ht="18" x14ac:dyDescent="0.55000000000000004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</row>
    <row r="803" spans="1:15" ht="18" x14ac:dyDescent="0.55000000000000004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</row>
    <row r="804" spans="1:15" ht="18" x14ac:dyDescent="0.55000000000000004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</row>
    <row r="805" spans="1:15" ht="18" x14ac:dyDescent="0.55000000000000004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</row>
    <row r="806" spans="1:15" ht="18" x14ac:dyDescent="0.55000000000000004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</row>
    <row r="807" spans="1:15" ht="18" x14ac:dyDescent="0.55000000000000004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</row>
    <row r="808" spans="1:15" ht="18" x14ac:dyDescent="0.55000000000000004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</row>
    <row r="809" spans="1:15" ht="18" x14ac:dyDescent="0.55000000000000004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</row>
    <row r="810" spans="1:15" ht="18" x14ac:dyDescent="0.55000000000000004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</row>
    <row r="811" spans="1:15" ht="18" x14ac:dyDescent="0.55000000000000004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</row>
    <row r="812" spans="1:15" ht="18" x14ac:dyDescent="0.55000000000000004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</row>
    <row r="813" spans="1:15" ht="18" x14ac:dyDescent="0.55000000000000004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</row>
    <row r="814" spans="1:15" ht="18" x14ac:dyDescent="0.55000000000000004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</row>
    <row r="815" spans="1:15" ht="18" x14ac:dyDescent="0.55000000000000004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</row>
    <row r="816" spans="1:15" ht="18" x14ac:dyDescent="0.55000000000000004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</row>
    <row r="817" spans="1:15" ht="18" x14ac:dyDescent="0.55000000000000004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</row>
    <row r="818" spans="1:15" ht="18" x14ac:dyDescent="0.55000000000000004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</row>
    <row r="819" spans="1:15" ht="18" x14ac:dyDescent="0.55000000000000004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</row>
    <row r="820" spans="1:15" ht="18" x14ac:dyDescent="0.55000000000000004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</row>
    <row r="821" spans="1:15" ht="18" x14ac:dyDescent="0.55000000000000004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</row>
    <row r="822" spans="1:15" ht="18" x14ac:dyDescent="0.55000000000000004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</row>
    <row r="823" spans="1:15" ht="18" x14ac:dyDescent="0.55000000000000004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</row>
    <row r="824" spans="1:15" ht="18" x14ac:dyDescent="0.55000000000000004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</row>
    <row r="825" spans="1:15" ht="18" x14ac:dyDescent="0.55000000000000004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</row>
    <row r="826" spans="1:15" ht="18" x14ac:dyDescent="0.55000000000000004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</row>
    <row r="827" spans="1:15" ht="18" x14ac:dyDescent="0.55000000000000004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</row>
    <row r="828" spans="1:15" ht="18" x14ac:dyDescent="0.55000000000000004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</row>
    <row r="829" spans="1:15" ht="18" x14ac:dyDescent="0.55000000000000004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</row>
    <row r="830" spans="1:15" ht="18" x14ac:dyDescent="0.55000000000000004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</row>
    <row r="831" spans="1:15" ht="18" x14ac:dyDescent="0.55000000000000004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</row>
    <row r="832" spans="1:15" ht="18" x14ac:dyDescent="0.55000000000000004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</row>
    <row r="833" spans="1:15" ht="18" x14ac:dyDescent="0.55000000000000004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</row>
    <row r="834" spans="1:15" ht="18" x14ac:dyDescent="0.55000000000000004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</row>
    <row r="835" spans="1:15" ht="18" x14ac:dyDescent="0.55000000000000004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</row>
    <row r="836" spans="1:15" ht="18" x14ac:dyDescent="0.55000000000000004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</row>
    <row r="837" spans="1:15" ht="18" x14ac:dyDescent="0.55000000000000004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</row>
    <row r="838" spans="1:15" ht="18" x14ac:dyDescent="0.55000000000000004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</row>
    <row r="839" spans="1:15" ht="18" x14ac:dyDescent="0.55000000000000004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</row>
    <row r="840" spans="1:15" ht="18" x14ac:dyDescent="0.55000000000000004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</row>
    <row r="841" spans="1:15" ht="18" x14ac:dyDescent="0.55000000000000004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</row>
    <row r="842" spans="1:15" ht="18" x14ac:dyDescent="0.55000000000000004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</row>
    <row r="843" spans="1:15" ht="18" x14ac:dyDescent="0.55000000000000004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</row>
    <row r="844" spans="1:15" ht="18" x14ac:dyDescent="0.55000000000000004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</row>
    <row r="845" spans="1:15" ht="18" x14ac:dyDescent="0.55000000000000004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</row>
    <row r="846" spans="1:15" ht="18" x14ac:dyDescent="0.55000000000000004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</row>
    <row r="847" spans="1:15" ht="18" x14ac:dyDescent="0.55000000000000004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</row>
    <row r="848" spans="1:15" ht="18" x14ac:dyDescent="0.55000000000000004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</row>
    <row r="849" spans="1:15" ht="18" x14ac:dyDescent="0.55000000000000004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</row>
    <row r="850" spans="1:15" ht="18" x14ac:dyDescent="0.55000000000000004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</row>
    <row r="851" spans="1:15" ht="18" x14ac:dyDescent="0.55000000000000004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</row>
    <row r="852" spans="1:15" ht="18" x14ac:dyDescent="0.55000000000000004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</row>
    <row r="853" spans="1:15" ht="18" x14ac:dyDescent="0.55000000000000004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</row>
    <row r="854" spans="1:15" ht="18" x14ac:dyDescent="0.55000000000000004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</row>
    <row r="855" spans="1:15" ht="18" x14ac:dyDescent="0.55000000000000004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</row>
    <row r="856" spans="1:15" ht="18" x14ac:dyDescent="0.55000000000000004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</row>
    <row r="857" spans="1:15" ht="18" x14ac:dyDescent="0.55000000000000004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</row>
    <row r="858" spans="1:15" ht="18" x14ac:dyDescent="0.55000000000000004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</row>
    <row r="859" spans="1:15" ht="18" x14ac:dyDescent="0.55000000000000004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</row>
    <row r="860" spans="1:15" ht="18" x14ac:dyDescent="0.55000000000000004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</row>
    <row r="861" spans="1:15" ht="18" x14ac:dyDescent="0.55000000000000004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</row>
    <row r="862" spans="1:15" ht="18" x14ac:dyDescent="0.55000000000000004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</row>
    <row r="863" spans="1:15" ht="18" x14ac:dyDescent="0.55000000000000004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</row>
    <row r="864" spans="1:15" ht="18" x14ac:dyDescent="0.55000000000000004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</row>
    <row r="865" spans="1:15" ht="18" x14ac:dyDescent="0.55000000000000004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</row>
    <row r="866" spans="1:15" ht="18" x14ac:dyDescent="0.55000000000000004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</row>
    <row r="867" spans="1:15" ht="18" x14ac:dyDescent="0.55000000000000004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</row>
    <row r="868" spans="1:15" ht="18" x14ac:dyDescent="0.55000000000000004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</row>
    <row r="869" spans="1:15" ht="18" x14ac:dyDescent="0.55000000000000004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</row>
    <row r="870" spans="1:15" ht="18" x14ac:dyDescent="0.55000000000000004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</row>
    <row r="871" spans="1:15" ht="18" x14ac:dyDescent="0.55000000000000004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</row>
    <row r="872" spans="1:15" ht="18" x14ac:dyDescent="0.55000000000000004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</row>
    <row r="873" spans="1:15" ht="18" x14ac:dyDescent="0.55000000000000004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</row>
    <row r="874" spans="1:15" ht="18" x14ac:dyDescent="0.55000000000000004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</row>
    <row r="875" spans="1:15" ht="18" x14ac:dyDescent="0.55000000000000004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</row>
    <row r="876" spans="1:15" ht="18" x14ac:dyDescent="0.55000000000000004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</row>
    <row r="877" spans="1:15" ht="18" x14ac:dyDescent="0.55000000000000004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</row>
    <row r="878" spans="1:15" ht="18" x14ac:dyDescent="0.55000000000000004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</row>
    <row r="879" spans="1:15" ht="18" x14ac:dyDescent="0.55000000000000004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</row>
    <row r="880" spans="1:15" ht="18" x14ac:dyDescent="0.55000000000000004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</row>
    <row r="881" spans="1:15" ht="18" x14ac:dyDescent="0.55000000000000004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</row>
    <row r="882" spans="1:15" ht="18" x14ac:dyDescent="0.55000000000000004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</row>
    <row r="883" spans="1:15" ht="18" x14ac:dyDescent="0.55000000000000004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</row>
    <row r="884" spans="1:15" ht="18" x14ac:dyDescent="0.55000000000000004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</row>
    <row r="885" spans="1:15" ht="18" x14ac:dyDescent="0.55000000000000004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</row>
    <row r="886" spans="1:15" ht="18" x14ac:dyDescent="0.55000000000000004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</row>
    <row r="887" spans="1:15" ht="18" x14ac:dyDescent="0.55000000000000004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</row>
    <row r="888" spans="1:15" ht="18" x14ac:dyDescent="0.55000000000000004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</row>
    <row r="889" spans="1:15" ht="18" x14ac:dyDescent="0.55000000000000004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</row>
    <row r="890" spans="1:15" ht="18" x14ac:dyDescent="0.55000000000000004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</row>
    <row r="891" spans="1:15" ht="18" x14ac:dyDescent="0.55000000000000004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</row>
    <row r="892" spans="1:15" ht="18" x14ac:dyDescent="0.55000000000000004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</row>
    <row r="893" spans="1:15" ht="18" x14ac:dyDescent="0.55000000000000004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</row>
    <row r="894" spans="1:15" ht="18" x14ac:dyDescent="0.55000000000000004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</row>
    <row r="895" spans="1:15" ht="18" x14ac:dyDescent="0.55000000000000004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</row>
    <row r="896" spans="1:15" ht="18" x14ac:dyDescent="0.55000000000000004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</row>
    <row r="897" spans="1:15" ht="18" x14ac:dyDescent="0.55000000000000004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</row>
    <row r="898" spans="1:15" ht="18" x14ac:dyDescent="0.55000000000000004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</row>
    <row r="899" spans="1:15" ht="18" x14ac:dyDescent="0.55000000000000004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</row>
    <row r="900" spans="1:15" ht="18" x14ac:dyDescent="0.55000000000000004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</row>
    <row r="901" spans="1:15" ht="18" x14ac:dyDescent="0.55000000000000004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</row>
    <row r="902" spans="1:15" ht="18" x14ac:dyDescent="0.55000000000000004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</row>
    <row r="903" spans="1:15" ht="18" x14ac:dyDescent="0.55000000000000004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</row>
    <row r="904" spans="1:15" ht="18" x14ac:dyDescent="0.55000000000000004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</row>
    <row r="905" spans="1:15" ht="18" x14ac:dyDescent="0.55000000000000004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</row>
    <row r="906" spans="1:15" ht="18" x14ac:dyDescent="0.55000000000000004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</row>
    <row r="907" spans="1:15" ht="18" x14ac:dyDescent="0.55000000000000004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</row>
    <row r="908" spans="1:15" ht="18" x14ac:dyDescent="0.55000000000000004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</row>
    <row r="909" spans="1:15" ht="18" x14ac:dyDescent="0.55000000000000004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</row>
    <row r="910" spans="1:15" ht="18" x14ac:dyDescent="0.55000000000000004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</row>
    <row r="911" spans="1:15" ht="18" x14ac:dyDescent="0.55000000000000004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</row>
    <row r="912" spans="1:15" ht="18" x14ac:dyDescent="0.55000000000000004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</row>
    <row r="913" spans="1:15" ht="18" x14ac:dyDescent="0.55000000000000004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</row>
    <row r="914" spans="1:15" ht="18" x14ac:dyDescent="0.55000000000000004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</row>
    <row r="915" spans="1:15" ht="18" x14ac:dyDescent="0.55000000000000004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</row>
    <row r="916" spans="1:15" ht="18" x14ac:dyDescent="0.55000000000000004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</row>
    <row r="917" spans="1:15" ht="18" x14ac:dyDescent="0.55000000000000004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</row>
    <row r="918" spans="1:15" ht="18" x14ac:dyDescent="0.55000000000000004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</row>
    <row r="919" spans="1:15" ht="18" x14ac:dyDescent="0.55000000000000004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</row>
    <row r="920" spans="1:15" ht="18" x14ac:dyDescent="0.55000000000000004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</row>
    <row r="921" spans="1:15" ht="18" x14ac:dyDescent="0.55000000000000004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</row>
    <row r="922" spans="1:15" ht="18" x14ac:dyDescent="0.55000000000000004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</row>
    <row r="923" spans="1:15" ht="18" x14ac:dyDescent="0.55000000000000004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</row>
    <row r="924" spans="1:15" ht="18" x14ac:dyDescent="0.55000000000000004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</row>
    <row r="925" spans="1:15" ht="18" x14ac:dyDescent="0.55000000000000004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</row>
    <row r="926" spans="1:15" ht="18" x14ac:dyDescent="0.55000000000000004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</row>
    <row r="927" spans="1:15" ht="18" x14ac:dyDescent="0.55000000000000004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</row>
    <row r="928" spans="1:15" ht="18" x14ac:dyDescent="0.55000000000000004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</row>
    <row r="929" spans="1:15" ht="18" x14ac:dyDescent="0.55000000000000004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</row>
    <row r="930" spans="1:15" ht="18" x14ac:dyDescent="0.55000000000000004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</row>
    <row r="931" spans="1:15" ht="18" x14ac:dyDescent="0.55000000000000004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</row>
    <row r="932" spans="1:15" ht="18" x14ac:dyDescent="0.55000000000000004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</row>
    <row r="933" spans="1:15" ht="18" x14ac:dyDescent="0.55000000000000004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</row>
    <row r="934" spans="1:15" ht="18" x14ac:dyDescent="0.55000000000000004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</row>
    <row r="935" spans="1:15" ht="18" x14ac:dyDescent="0.55000000000000004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</row>
    <row r="936" spans="1:15" ht="18" x14ac:dyDescent="0.55000000000000004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</row>
    <row r="937" spans="1:15" ht="18" x14ac:dyDescent="0.55000000000000004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</row>
    <row r="938" spans="1:15" ht="18" x14ac:dyDescent="0.55000000000000004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</row>
    <row r="939" spans="1:15" ht="18" x14ac:dyDescent="0.55000000000000004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</row>
    <row r="940" spans="1:15" ht="18" x14ac:dyDescent="0.55000000000000004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</row>
    <row r="941" spans="1:15" ht="18" x14ac:dyDescent="0.55000000000000004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</row>
    <row r="942" spans="1:15" ht="18" x14ac:dyDescent="0.55000000000000004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</row>
    <row r="943" spans="1:15" ht="18" x14ac:dyDescent="0.55000000000000004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</row>
    <row r="944" spans="1:15" ht="18" x14ac:dyDescent="0.55000000000000004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</row>
    <row r="945" spans="1:15" ht="18" x14ac:dyDescent="0.55000000000000004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</row>
    <row r="946" spans="1:15" ht="18" x14ac:dyDescent="0.55000000000000004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</row>
    <row r="947" spans="1:15" ht="18" x14ac:dyDescent="0.55000000000000004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</row>
    <row r="948" spans="1:15" ht="18" x14ac:dyDescent="0.55000000000000004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</row>
    <row r="949" spans="1:15" ht="18" x14ac:dyDescent="0.55000000000000004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</row>
    <row r="950" spans="1:15" ht="18" x14ac:dyDescent="0.55000000000000004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</row>
    <row r="951" spans="1:15" ht="18" x14ac:dyDescent="0.55000000000000004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</row>
    <row r="952" spans="1:15" ht="18" x14ac:dyDescent="0.55000000000000004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</row>
    <row r="953" spans="1:15" ht="18" x14ac:dyDescent="0.55000000000000004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</row>
    <row r="954" spans="1:15" ht="18" x14ac:dyDescent="0.55000000000000004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</row>
    <row r="955" spans="1:15" ht="18" x14ac:dyDescent="0.55000000000000004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</row>
    <row r="956" spans="1:15" ht="18" x14ac:dyDescent="0.55000000000000004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</row>
    <row r="957" spans="1:15" ht="18" x14ac:dyDescent="0.55000000000000004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</row>
    <row r="958" spans="1:15" ht="18" x14ac:dyDescent="0.55000000000000004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</row>
    <row r="959" spans="1:15" ht="18" x14ac:dyDescent="0.55000000000000004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</row>
    <row r="960" spans="1:15" ht="18" x14ac:dyDescent="0.55000000000000004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</row>
    <row r="961" spans="1:15" ht="18" x14ac:dyDescent="0.55000000000000004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</row>
    <row r="962" spans="1:15" ht="18" x14ac:dyDescent="0.55000000000000004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</row>
    <row r="963" spans="1:15" ht="18" x14ac:dyDescent="0.55000000000000004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</row>
    <row r="964" spans="1:15" ht="18" x14ac:dyDescent="0.55000000000000004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</row>
    <row r="965" spans="1:15" ht="18" x14ac:dyDescent="0.55000000000000004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</row>
    <row r="966" spans="1:15" ht="18" x14ac:dyDescent="0.55000000000000004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</row>
    <row r="967" spans="1:15" ht="18" x14ac:dyDescent="0.55000000000000004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</row>
    <row r="968" spans="1:15" ht="18" x14ac:dyDescent="0.55000000000000004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</row>
    <row r="969" spans="1:15" ht="18" x14ac:dyDescent="0.55000000000000004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</row>
    <row r="970" spans="1:15" ht="18" x14ac:dyDescent="0.55000000000000004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</row>
    <row r="971" spans="1:15" ht="18" x14ac:dyDescent="0.55000000000000004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</row>
    <row r="972" spans="1:15" ht="18" x14ac:dyDescent="0.55000000000000004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</row>
    <row r="973" spans="1:15" ht="18" x14ac:dyDescent="0.55000000000000004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</row>
    <row r="974" spans="1:15" ht="18" x14ac:dyDescent="0.55000000000000004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</row>
    <row r="975" spans="1:15" ht="18" x14ac:dyDescent="0.55000000000000004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</row>
    <row r="976" spans="1:15" ht="18" x14ac:dyDescent="0.55000000000000004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</row>
    <row r="977" spans="1:15" ht="18" x14ac:dyDescent="0.55000000000000004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</row>
    <row r="978" spans="1:15" ht="18" x14ac:dyDescent="0.55000000000000004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</row>
    <row r="979" spans="1:15" ht="18" x14ac:dyDescent="0.55000000000000004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</row>
    <row r="980" spans="1:15" ht="18" x14ac:dyDescent="0.55000000000000004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</row>
    <row r="981" spans="1:15" ht="18" x14ac:dyDescent="0.55000000000000004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</row>
    <row r="982" spans="1:15" ht="18" x14ac:dyDescent="0.55000000000000004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</row>
    <row r="983" spans="1:15" ht="18" x14ac:dyDescent="0.55000000000000004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</row>
    <row r="984" spans="1:15" ht="18" x14ac:dyDescent="0.55000000000000004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</row>
    <row r="985" spans="1:15" ht="18" x14ac:dyDescent="0.55000000000000004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</row>
    <row r="986" spans="1:15" ht="18" x14ac:dyDescent="0.55000000000000004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</row>
    <row r="987" spans="1:15" ht="18" x14ac:dyDescent="0.55000000000000004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</row>
    <row r="988" spans="1:15" ht="18" x14ac:dyDescent="0.55000000000000004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</row>
    <row r="989" spans="1:15" ht="18" x14ac:dyDescent="0.55000000000000004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</row>
    <row r="990" spans="1:15" ht="18" x14ac:dyDescent="0.55000000000000004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</row>
    <row r="991" spans="1:15" ht="18" x14ac:dyDescent="0.55000000000000004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</row>
    <row r="992" spans="1:15" ht="18" x14ac:dyDescent="0.55000000000000004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</row>
    <row r="993" spans="1:15" ht="18" x14ac:dyDescent="0.55000000000000004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</row>
    <row r="994" spans="1:15" ht="18" x14ac:dyDescent="0.55000000000000004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</row>
    <row r="995" spans="1:15" ht="18" x14ac:dyDescent="0.55000000000000004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</row>
    <row r="996" spans="1:15" ht="18" x14ac:dyDescent="0.55000000000000004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</row>
    <row r="997" spans="1:15" ht="18" x14ac:dyDescent="0.55000000000000004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</row>
    <row r="998" spans="1:15" ht="18" x14ac:dyDescent="0.55000000000000004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</row>
    <row r="999" spans="1:15" ht="18" x14ac:dyDescent="0.55000000000000004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</row>
    <row r="1000" spans="1:15" ht="18" x14ac:dyDescent="0.55000000000000004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</row>
    <row r="1001" spans="1:15" ht="18" x14ac:dyDescent="0.55000000000000004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</row>
    <row r="1002" spans="1:15" ht="18" x14ac:dyDescent="0.55000000000000004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</row>
    <row r="1003" spans="1:15" ht="18" x14ac:dyDescent="0.55000000000000004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</row>
    <row r="1004" spans="1:15" ht="18" x14ac:dyDescent="0.55000000000000004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</row>
    <row r="1005" spans="1:15" ht="18" x14ac:dyDescent="0.55000000000000004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</row>
    <row r="1006" spans="1:15" ht="18" x14ac:dyDescent="0.55000000000000004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</row>
    <row r="1007" spans="1:15" ht="18" x14ac:dyDescent="0.55000000000000004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</row>
    <row r="1008" spans="1:15" ht="18" x14ac:dyDescent="0.55000000000000004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</row>
    <row r="1009" spans="1:15" ht="18" x14ac:dyDescent="0.55000000000000004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</row>
    <row r="1010" spans="1:15" ht="18" x14ac:dyDescent="0.55000000000000004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</row>
    <row r="1011" spans="1:15" ht="18" x14ac:dyDescent="0.55000000000000004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</row>
    <row r="1012" spans="1:15" ht="18" x14ac:dyDescent="0.55000000000000004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</row>
    <row r="1013" spans="1:15" ht="18" x14ac:dyDescent="0.55000000000000004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</row>
    <row r="1014" spans="1:15" ht="18" x14ac:dyDescent="0.55000000000000004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</row>
    <row r="1015" spans="1:15" ht="18" x14ac:dyDescent="0.55000000000000004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</row>
    <row r="1016" spans="1:15" ht="18" x14ac:dyDescent="0.55000000000000004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</row>
    <row r="1017" spans="1:15" ht="18" x14ac:dyDescent="0.55000000000000004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</row>
    <row r="1018" spans="1:15" ht="18" x14ac:dyDescent="0.55000000000000004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</row>
    <row r="1019" spans="1:15" ht="18" x14ac:dyDescent="0.55000000000000004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</row>
    <row r="1020" spans="1:15" ht="18" x14ac:dyDescent="0.55000000000000004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</row>
    <row r="1021" spans="1:15" ht="18" x14ac:dyDescent="0.55000000000000004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</row>
    <row r="1022" spans="1:15" ht="18" x14ac:dyDescent="0.55000000000000004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</row>
    <row r="1023" spans="1:15" ht="18" x14ac:dyDescent="0.55000000000000004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</row>
    <row r="1024" spans="1:15" ht="18" x14ac:dyDescent="0.55000000000000004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</row>
    <row r="1025" spans="1:15" ht="18" x14ac:dyDescent="0.55000000000000004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</row>
    <row r="1026" spans="1:15" ht="18" x14ac:dyDescent="0.55000000000000004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</row>
    <row r="1027" spans="1:15" ht="18" x14ac:dyDescent="0.55000000000000004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</row>
    <row r="1028" spans="1:15" ht="18" x14ac:dyDescent="0.55000000000000004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</row>
    <row r="1029" spans="1:15" ht="18" x14ac:dyDescent="0.55000000000000004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</row>
    <row r="1030" spans="1:15" ht="18" x14ac:dyDescent="0.55000000000000004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</row>
    <row r="1031" spans="1:15" ht="18" x14ac:dyDescent="0.55000000000000004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</row>
    <row r="1032" spans="1:15" ht="18" x14ac:dyDescent="0.55000000000000004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</row>
    <row r="1033" spans="1:15" ht="18" x14ac:dyDescent="0.55000000000000004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</row>
    <row r="1034" spans="1:15" ht="18" x14ac:dyDescent="0.55000000000000004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</row>
    <row r="1035" spans="1:15" ht="18" x14ac:dyDescent="0.55000000000000004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</row>
    <row r="1036" spans="1:15" ht="18" x14ac:dyDescent="0.55000000000000004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</row>
    <row r="1037" spans="1:15" ht="18" x14ac:dyDescent="0.55000000000000004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</row>
    <row r="1038" spans="1:15" ht="18" x14ac:dyDescent="0.55000000000000004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</row>
    <row r="1039" spans="1:15" ht="18" x14ac:dyDescent="0.55000000000000004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</row>
    <row r="1040" spans="1:15" ht="18" x14ac:dyDescent="0.55000000000000004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</row>
    <row r="1041" spans="1:15" ht="18" x14ac:dyDescent="0.55000000000000004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</row>
    <row r="1042" spans="1:15" ht="18" x14ac:dyDescent="0.55000000000000004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</row>
    <row r="1043" spans="1:15" ht="18" x14ac:dyDescent="0.55000000000000004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</row>
    <row r="1044" spans="1:15" ht="18" x14ac:dyDescent="0.55000000000000004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</row>
    <row r="1045" spans="1:15" ht="18" x14ac:dyDescent="0.55000000000000004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</row>
    <row r="1046" spans="1:15" ht="18" x14ac:dyDescent="0.55000000000000004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</row>
    <row r="1047" spans="1:15" ht="18" x14ac:dyDescent="0.55000000000000004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</row>
    <row r="1048" spans="1:15" ht="18" x14ac:dyDescent="0.55000000000000004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</row>
    <row r="1049" spans="1:15" ht="18" x14ac:dyDescent="0.55000000000000004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</row>
    <row r="1050" spans="1:15" ht="18" x14ac:dyDescent="0.55000000000000004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</row>
    <row r="1051" spans="1:15" ht="18" x14ac:dyDescent="0.55000000000000004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</row>
    <row r="1052" spans="1:15" ht="18" x14ac:dyDescent="0.55000000000000004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</row>
    <row r="1053" spans="1:15" ht="18" x14ac:dyDescent="0.55000000000000004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</row>
    <row r="1054" spans="1:15" ht="18" x14ac:dyDescent="0.55000000000000004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</row>
    <row r="1055" spans="1:15" ht="18" x14ac:dyDescent="0.55000000000000004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</row>
    <row r="1056" spans="1:15" ht="18" x14ac:dyDescent="0.55000000000000004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</row>
    <row r="1057" spans="1:15" ht="18" x14ac:dyDescent="0.55000000000000004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</row>
    <row r="1058" spans="1:15" ht="18" x14ac:dyDescent="0.55000000000000004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</row>
    <row r="1059" spans="1:15" ht="18" x14ac:dyDescent="0.55000000000000004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</row>
    <row r="1060" spans="1:15" ht="18" x14ac:dyDescent="0.55000000000000004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</row>
    <row r="1061" spans="1:15" ht="18" x14ac:dyDescent="0.55000000000000004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</row>
    <row r="1062" spans="1:15" ht="18" x14ac:dyDescent="0.55000000000000004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</row>
    <row r="1063" spans="1:15" ht="18" x14ac:dyDescent="0.55000000000000004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</row>
    <row r="1064" spans="1:15" ht="18" x14ac:dyDescent="0.55000000000000004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</row>
    <row r="1065" spans="1:15" ht="18" x14ac:dyDescent="0.55000000000000004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</row>
    <row r="1066" spans="1:15" ht="18" x14ac:dyDescent="0.55000000000000004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</row>
    <row r="1067" spans="1:15" ht="18" x14ac:dyDescent="0.55000000000000004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</row>
    <row r="1068" spans="1:15" ht="18" x14ac:dyDescent="0.55000000000000004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</row>
    <row r="1069" spans="1:15" ht="18" x14ac:dyDescent="0.55000000000000004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</row>
    <row r="1070" spans="1:15" ht="18" x14ac:dyDescent="0.55000000000000004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</row>
    <row r="1071" spans="1:15" ht="18" x14ac:dyDescent="0.55000000000000004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</row>
    <row r="1072" spans="1:15" ht="18" x14ac:dyDescent="0.55000000000000004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</row>
    <row r="1073" spans="1:15" ht="18" x14ac:dyDescent="0.55000000000000004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</row>
    <row r="1074" spans="1:15" ht="18" x14ac:dyDescent="0.55000000000000004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</row>
    <row r="1075" spans="1:15" ht="18" x14ac:dyDescent="0.55000000000000004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</row>
    <row r="1076" spans="1:15" ht="18" x14ac:dyDescent="0.55000000000000004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</row>
    <row r="1077" spans="1:15" ht="18" x14ac:dyDescent="0.55000000000000004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</row>
    <row r="1078" spans="1:15" ht="18" x14ac:dyDescent="0.55000000000000004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</row>
    <row r="1079" spans="1:15" ht="18" x14ac:dyDescent="0.55000000000000004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</row>
    <row r="1080" spans="1:15" ht="18" x14ac:dyDescent="0.55000000000000004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</row>
    <row r="1081" spans="1:15" ht="18" x14ac:dyDescent="0.55000000000000004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</row>
    <row r="1082" spans="1:15" ht="18" x14ac:dyDescent="0.55000000000000004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</row>
    <row r="1083" spans="1:15" ht="18" x14ac:dyDescent="0.55000000000000004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</row>
    <row r="1084" spans="1:15" ht="18" x14ac:dyDescent="0.55000000000000004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</row>
    <row r="1085" spans="1:15" ht="18" x14ac:dyDescent="0.55000000000000004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</row>
    <row r="1086" spans="1:15" ht="18" x14ac:dyDescent="0.55000000000000004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</row>
    <row r="1087" spans="1:15" ht="18" x14ac:dyDescent="0.55000000000000004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</row>
    <row r="1088" spans="1:15" ht="18" x14ac:dyDescent="0.55000000000000004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</row>
    <row r="1089" spans="1:15" ht="18" x14ac:dyDescent="0.55000000000000004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</row>
    <row r="1090" spans="1:15" ht="18" x14ac:dyDescent="0.55000000000000004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</row>
    <row r="1091" spans="1:15" ht="18" x14ac:dyDescent="0.55000000000000004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</row>
    <row r="1092" spans="1:15" ht="18" x14ac:dyDescent="0.55000000000000004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</row>
    <row r="1093" spans="1:15" ht="18" x14ac:dyDescent="0.55000000000000004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</row>
    <row r="1094" spans="1:15" ht="18" x14ac:dyDescent="0.55000000000000004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</row>
    <row r="1095" spans="1:15" ht="18" x14ac:dyDescent="0.55000000000000004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</row>
    <row r="1096" spans="1:15" ht="18" x14ac:dyDescent="0.55000000000000004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</row>
    <row r="1097" spans="1:15" ht="18" x14ac:dyDescent="0.55000000000000004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</row>
    <row r="1098" spans="1:15" ht="18" x14ac:dyDescent="0.55000000000000004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</row>
    <row r="1099" spans="1:15" ht="18" x14ac:dyDescent="0.55000000000000004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</row>
    <row r="1100" spans="1:15" ht="18" x14ac:dyDescent="0.55000000000000004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</row>
    <row r="1101" spans="1:15" ht="18" x14ac:dyDescent="0.55000000000000004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</row>
    <row r="1102" spans="1:15" ht="18" x14ac:dyDescent="0.55000000000000004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</row>
    <row r="1103" spans="1:15" ht="18" x14ac:dyDescent="0.55000000000000004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</row>
    <row r="1104" spans="1:15" ht="18" x14ac:dyDescent="0.55000000000000004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</row>
    <row r="1105" spans="1:15" ht="18" x14ac:dyDescent="0.55000000000000004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</row>
    <row r="1106" spans="1:15" ht="18" x14ac:dyDescent="0.55000000000000004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</row>
    <row r="1107" spans="1:15" ht="18" x14ac:dyDescent="0.55000000000000004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</row>
    <row r="1108" spans="1:15" ht="18" x14ac:dyDescent="0.55000000000000004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</row>
    <row r="1109" spans="1:15" ht="18" x14ac:dyDescent="0.55000000000000004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</row>
    <row r="1110" spans="1:15" ht="18" x14ac:dyDescent="0.55000000000000004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</row>
    <row r="1111" spans="1:15" ht="18" x14ac:dyDescent="0.55000000000000004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</row>
    <row r="1112" spans="1:15" ht="18" x14ac:dyDescent="0.55000000000000004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</row>
    <row r="1113" spans="1:15" ht="18" x14ac:dyDescent="0.55000000000000004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</row>
    <row r="1114" spans="1:15" ht="18" x14ac:dyDescent="0.55000000000000004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</row>
    <row r="1115" spans="1:15" ht="18" x14ac:dyDescent="0.55000000000000004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</row>
    <row r="1116" spans="1:15" ht="18" x14ac:dyDescent="0.55000000000000004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</row>
    <row r="1117" spans="1:15" ht="18" x14ac:dyDescent="0.55000000000000004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</row>
    <row r="1118" spans="1:15" ht="18" x14ac:dyDescent="0.55000000000000004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</row>
    <row r="1119" spans="1:15" ht="18" x14ac:dyDescent="0.55000000000000004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</row>
    <row r="1120" spans="1:15" ht="18" x14ac:dyDescent="0.55000000000000004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</row>
    <row r="1121" spans="1:15" ht="18" x14ac:dyDescent="0.55000000000000004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</row>
    <row r="1122" spans="1:15" ht="18" x14ac:dyDescent="0.55000000000000004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</row>
    <row r="1123" spans="1:15" ht="18" x14ac:dyDescent="0.55000000000000004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</row>
    <row r="1124" spans="1:15" ht="18" x14ac:dyDescent="0.55000000000000004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</row>
    <row r="1125" spans="1:15" ht="18" x14ac:dyDescent="0.55000000000000004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</row>
    <row r="1126" spans="1:15" ht="18" x14ac:dyDescent="0.55000000000000004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</row>
    <row r="1127" spans="1:15" ht="18" x14ac:dyDescent="0.55000000000000004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</row>
    <row r="1128" spans="1:15" ht="18" x14ac:dyDescent="0.55000000000000004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</row>
    <row r="1129" spans="1:15" ht="18" x14ac:dyDescent="0.55000000000000004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</row>
    <row r="1130" spans="1:15" ht="18" x14ac:dyDescent="0.55000000000000004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</row>
    <row r="1131" spans="1:15" ht="18" x14ac:dyDescent="0.55000000000000004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</row>
    <row r="1132" spans="1:15" ht="18" x14ac:dyDescent="0.55000000000000004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</row>
    <row r="1133" spans="1:15" ht="18" x14ac:dyDescent="0.55000000000000004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</row>
    <row r="1134" spans="1:15" ht="18" x14ac:dyDescent="0.55000000000000004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</row>
    <row r="1135" spans="1:15" ht="18" x14ac:dyDescent="0.55000000000000004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</row>
    <row r="1136" spans="1:15" ht="18" x14ac:dyDescent="0.55000000000000004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</row>
    <row r="1137" spans="1:15" ht="18" x14ac:dyDescent="0.55000000000000004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</row>
    <row r="1138" spans="1:15" ht="18" x14ac:dyDescent="0.55000000000000004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</row>
    <row r="1139" spans="1:15" ht="18" x14ac:dyDescent="0.55000000000000004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</row>
    <row r="1140" spans="1:15" ht="18" x14ac:dyDescent="0.55000000000000004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</row>
    <row r="1141" spans="1:15" ht="18" x14ac:dyDescent="0.55000000000000004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</row>
    <row r="1142" spans="1:15" ht="18" x14ac:dyDescent="0.55000000000000004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</row>
    <row r="1143" spans="1:15" ht="18" x14ac:dyDescent="0.55000000000000004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</row>
    <row r="1144" spans="1:15" ht="18" x14ac:dyDescent="0.55000000000000004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</row>
    <row r="1145" spans="1:15" ht="18" x14ac:dyDescent="0.55000000000000004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</row>
    <row r="1146" spans="1:15" ht="18" x14ac:dyDescent="0.55000000000000004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</row>
    <row r="1147" spans="1:15" ht="18" x14ac:dyDescent="0.55000000000000004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</row>
    <row r="1148" spans="1:15" ht="18" x14ac:dyDescent="0.55000000000000004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</row>
    <row r="1149" spans="1:15" ht="18" x14ac:dyDescent="0.55000000000000004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</row>
    <row r="1150" spans="1:15" ht="18" x14ac:dyDescent="0.55000000000000004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</row>
    <row r="1151" spans="1:15" ht="18" x14ac:dyDescent="0.55000000000000004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</row>
    <row r="1152" spans="1:15" ht="18" x14ac:dyDescent="0.55000000000000004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</row>
    <row r="1153" spans="1:15" ht="18" x14ac:dyDescent="0.55000000000000004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</row>
    <row r="1154" spans="1:15" ht="18" x14ac:dyDescent="0.55000000000000004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</row>
    <row r="1155" spans="1:15" ht="18" x14ac:dyDescent="0.55000000000000004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</row>
    <row r="1156" spans="1:15" ht="18" x14ac:dyDescent="0.55000000000000004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</row>
    <row r="1157" spans="1:15" ht="18" x14ac:dyDescent="0.55000000000000004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</row>
    <row r="1158" spans="1:15" ht="18" x14ac:dyDescent="0.55000000000000004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</row>
    <row r="1159" spans="1:15" ht="18" x14ac:dyDescent="0.55000000000000004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</row>
    <row r="1160" spans="1:15" ht="18" x14ac:dyDescent="0.55000000000000004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</row>
    <row r="1161" spans="1:15" ht="18" x14ac:dyDescent="0.55000000000000004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</row>
    <row r="1162" spans="1:15" ht="18" x14ac:dyDescent="0.55000000000000004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</row>
    <row r="1163" spans="1:15" ht="18" x14ac:dyDescent="0.55000000000000004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</row>
    <row r="1164" spans="1:15" ht="18" x14ac:dyDescent="0.55000000000000004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</row>
    <row r="1165" spans="1:15" ht="18" x14ac:dyDescent="0.55000000000000004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</row>
    <row r="1166" spans="1:15" ht="18" x14ac:dyDescent="0.55000000000000004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</row>
    <row r="1167" spans="1:15" ht="18" x14ac:dyDescent="0.55000000000000004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</row>
    <row r="1168" spans="1:15" ht="18" x14ac:dyDescent="0.55000000000000004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</row>
    <row r="1169" spans="1:15" ht="18" x14ac:dyDescent="0.55000000000000004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</row>
    <row r="1170" spans="1:15" ht="18" x14ac:dyDescent="0.55000000000000004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</row>
    <row r="1171" spans="1:15" ht="18" x14ac:dyDescent="0.55000000000000004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</row>
    <row r="1172" spans="1:15" ht="18" x14ac:dyDescent="0.55000000000000004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</row>
    <row r="1173" spans="1:15" ht="18" x14ac:dyDescent="0.55000000000000004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</row>
    <row r="1174" spans="1:15" ht="18" x14ac:dyDescent="0.55000000000000004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</row>
    <row r="1175" spans="1:15" ht="18" x14ac:dyDescent="0.55000000000000004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</row>
    <row r="1176" spans="1:15" ht="18" x14ac:dyDescent="0.55000000000000004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</row>
    <row r="1177" spans="1:15" ht="18" x14ac:dyDescent="0.55000000000000004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</row>
    <row r="1178" spans="1:15" ht="18" x14ac:dyDescent="0.55000000000000004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</row>
    <row r="1179" spans="1:15" ht="18" x14ac:dyDescent="0.55000000000000004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</row>
    <row r="1180" spans="1:15" ht="18" x14ac:dyDescent="0.55000000000000004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</row>
    <row r="1181" spans="1:15" ht="18" x14ac:dyDescent="0.55000000000000004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</row>
    <row r="1182" spans="1:15" ht="18" x14ac:dyDescent="0.55000000000000004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</row>
    <row r="1183" spans="1:15" ht="18" x14ac:dyDescent="0.55000000000000004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</row>
    <row r="1184" spans="1:15" ht="18" x14ac:dyDescent="0.55000000000000004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</row>
    <row r="1185" spans="1:15" ht="18" x14ac:dyDescent="0.55000000000000004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</row>
    <row r="1186" spans="1:15" ht="18" x14ac:dyDescent="0.55000000000000004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</row>
    <row r="1187" spans="1:15" ht="18" x14ac:dyDescent="0.55000000000000004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</row>
    <row r="1188" spans="1:15" ht="18" x14ac:dyDescent="0.55000000000000004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</row>
    <row r="1189" spans="1:15" ht="18" x14ac:dyDescent="0.55000000000000004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</row>
    <row r="1190" spans="1:15" ht="18" x14ac:dyDescent="0.55000000000000004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</row>
    <row r="1191" spans="1:15" ht="18" x14ac:dyDescent="0.55000000000000004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</row>
    <row r="1192" spans="1:15" ht="18" x14ac:dyDescent="0.55000000000000004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</row>
    <row r="1193" spans="1:15" ht="18" x14ac:dyDescent="0.55000000000000004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</row>
    <row r="1194" spans="1:15" ht="18" x14ac:dyDescent="0.55000000000000004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</row>
    <row r="1195" spans="1:15" ht="18" x14ac:dyDescent="0.55000000000000004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</row>
    <row r="1196" spans="1:15" ht="18" x14ac:dyDescent="0.55000000000000004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</row>
    <row r="1197" spans="1:15" ht="18" x14ac:dyDescent="0.55000000000000004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</row>
    <row r="1198" spans="1:15" ht="18" x14ac:dyDescent="0.55000000000000004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</row>
    <row r="1199" spans="1:15" ht="18" x14ac:dyDescent="0.55000000000000004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</row>
    <row r="1200" spans="1:15" ht="18" x14ac:dyDescent="0.55000000000000004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</row>
    <row r="1201" spans="1:15" ht="18" x14ac:dyDescent="0.55000000000000004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</row>
    <row r="1202" spans="1:15" ht="18" x14ac:dyDescent="0.55000000000000004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</row>
    <row r="1203" spans="1:15" ht="18" x14ac:dyDescent="0.55000000000000004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</row>
    <row r="1204" spans="1:15" ht="18" x14ac:dyDescent="0.55000000000000004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</row>
    <row r="1205" spans="1:15" ht="18" x14ac:dyDescent="0.55000000000000004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</row>
    <row r="1206" spans="1:15" ht="18" x14ac:dyDescent="0.55000000000000004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</row>
    <row r="1207" spans="1:15" ht="18" x14ac:dyDescent="0.55000000000000004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</row>
    <row r="1208" spans="1:15" ht="18" x14ac:dyDescent="0.55000000000000004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</row>
    <row r="1209" spans="1:15" ht="18" x14ac:dyDescent="0.55000000000000004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</row>
    <row r="1210" spans="1:15" ht="18" x14ac:dyDescent="0.55000000000000004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</row>
    <row r="1211" spans="1:15" ht="18" x14ac:dyDescent="0.55000000000000004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</row>
    <row r="1212" spans="1:15" ht="18" x14ac:dyDescent="0.55000000000000004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</row>
    <row r="1213" spans="1:15" ht="18" x14ac:dyDescent="0.55000000000000004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</row>
    <row r="1214" spans="1:15" ht="18" x14ac:dyDescent="0.55000000000000004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</row>
    <row r="1215" spans="1:15" ht="18" x14ac:dyDescent="0.55000000000000004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</row>
    <row r="1216" spans="1:15" ht="18" x14ac:dyDescent="0.55000000000000004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</row>
    <row r="1217" spans="1:15" ht="18" x14ac:dyDescent="0.55000000000000004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</row>
    <row r="1218" spans="1:15" ht="18" x14ac:dyDescent="0.55000000000000004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</row>
    <row r="1219" spans="1:15" ht="18" x14ac:dyDescent="0.55000000000000004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</row>
    <row r="1220" spans="1:15" ht="18" x14ac:dyDescent="0.55000000000000004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</row>
    <row r="1221" spans="1:15" ht="18" x14ac:dyDescent="0.55000000000000004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</row>
    <row r="1222" spans="1:15" ht="18" x14ac:dyDescent="0.55000000000000004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</row>
    <row r="1223" spans="1:15" ht="18" x14ac:dyDescent="0.55000000000000004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</row>
    <row r="1224" spans="1:15" ht="18" x14ac:dyDescent="0.55000000000000004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</row>
    <row r="1225" spans="1:15" ht="18" x14ac:dyDescent="0.55000000000000004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</row>
    <row r="1226" spans="1:15" ht="18" x14ac:dyDescent="0.55000000000000004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</row>
    <row r="1227" spans="1:15" ht="18" x14ac:dyDescent="0.55000000000000004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</row>
    <row r="1228" spans="1:15" ht="18" x14ac:dyDescent="0.55000000000000004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</row>
    <row r="1229" spans="1:15" ht="18" x14ac:dyDescent="0.55000000000000004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</row>
    <row r="1230" spans="1:15" ht="18" x14ac:dyDescent="0.55000000000000004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</row>
    <row r="1231" spans="1:15" ht="18" x14ac:dyDescent="0.55000000000000004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</row>
    <row r="1232" spans="1:15" ht="18" x14ac:dyDescent="0.55000000000000004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</row>
    <row r="1233" spans="1:15" ht="18" x14ac:dyDescent="0.55000000000000004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</row>
    <row r="1234" spans="1:15" ht="18" x14ac:dyDescent="0.55000000000000004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</row>
    <row r="1235" spans="1:15" ht="18" x14ac:dyDescent="0.55000000000000004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</row>
    <row r="1236" spans="1:15" ht="18" x14ac:dyDescent="0.55000000000000004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</row>
    <row r="1237" spans="1:15" ht="18" x14ac:dyDescent="0.55000000000000004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</row>
    <row r="1238" spans="1:15" ht="18" x14ac:dyDescent="0.55000000000000004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</row>
    <row r="1239" spans="1:15" ht="18" x14ac:dyDescent="0.55000000000000004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</row>
    <row r="1240" spans="1:15" ht="18" x14ac:dyDescent="0.55000000000000004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</row>
    <row r="1241" spans="1:15" ht="18" x14ac:dyDescent="0.55000000000000004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</row>
    <row r="1242" spans="1:15" ht="18" x14ac:dyDescent="0.55000000000000004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</row>
    <row r="1243" spans="1:15" ht="18" x14ac:dyDescent="0.55000000000000004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</row>
    <row r="1244" spans="1:15" ht="18" x14ac:dyDescent="0.55000000000000004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</row>
    <row r="1245" spans="1:15" ht="18" x14ac:dyDescent="0.55000000000000004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</row>
    <row r="1246" spans="1:15" ht="18" x14ac:dyDescent="0.55000000000000004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</row>
    <row r="1247" spans="1:15" ht="18" x14ac:dyDescent="0.55000000000000004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</row>
    <row r="1248" spans="1:15" ht="18" x14ac:dyDescent="0.55000000000000004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</row>
    <row r="1249" spans="1:15" ht="18" x14ac:dyDescent="0.55000000000000004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</row>
    <row r="1250" spans="1:15" ht="18" x14ac:dyDescent="0.55000000000000004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</row>
    <row r="1251" spans="1:15" ht="18" x14ac:dyDescent="0.55000000000000004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</row>
    <row r="1252" spans="1:15" ht="18" x14ac:dyDescent="0.55000000000000004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</row>
    <row r="1253" spans="1:15" ht="18" x14ac:dyDescent="0.55000000000000004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</row>
    <row r="1254" spans="1:15" ht="18" x14ac:dyDescent="0.55000000000000004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</row>
    <row r="1255" spans="1:15" ht="18" x14ac:dyDescent="0.55000000000000004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</row>
    <row r="1256" spans="1:15" ht="18" x14ac:dyDescent="0.55000000000000004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</row>
    <row r="1257" spans="1:15" ht="18" x14ac:dyDescent="0.55000000000000004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</row>
    <row r="1258" spans="1:15" ht="18" x14ac:dyDescent="0.55000000000000004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</row>
    <row r="1259" spans="1:15" ht="18" x14ac:dyDescent="0.55000000000000004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</row>
    <row r="1260" spans="1:15" ht="18" x14ac:dyDescent="0.55000000000000004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</row>
    <row r="1261" spans="1:15" ht="18" x14ac:dyDescent="0.55000000000000004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</row>
    <row r="1262" spans="1:15" ht="18" x14ac:dyDescent="0.55000000000000004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</row>
    <row r="1263" spans="1:15" ht="18" x14ac:dyDescent="0.55000000000000004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</row>
    <row r="1264" spans="1:15" ht="18" x14ac:dyDescent="0.55000000000000004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</row>
    <row r="1265" spans="1:15" ht="18" x14ac:dyDescent="0.55000000000000004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</row>
    <row r="1266" spans="1:15" ht="18" x14ac:dyDescent="0.55000000000000004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</row>
    <row r="1267" spans="1:15" ht="18" x14ac:dyDescent="0.55000000000000004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</row>
    <row r="1268" spans="1:15" ht="18" x14ac:dyDescent="0.55000000000000004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</row>
    <row r="1269" spans="1:15" ht="18" x14ac:dyDescent="0.55000000000000004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</row>
    <row r="1270" spans="1:15" ht="18" x14ac:dyDescent="0.55000000000000004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</row>
    <row r="1271" spans="1:15" ht="18" x14ac:dyDescent="0.55000000000000004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</row>
    <row r="1272" spans="1:15" ht="18" x14ac:dyDescent="0.55000000000000004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</row>
    <row r="1273" spans="1:15" ht="18" x14ac:dyDescent="0.55000000000000004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</row>
    <row r="1274" spans="1:15" ht="18" x14ac:dyDescent="0.55000000000000004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</row>
    <row r="1275" spans="1:15" ht="18" x14ac:dyDescent="0.55000000000000004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</row>
    <row r="1276" spans="1:15" ht="18" x14ac:dyDescent="0.55000000000000004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</row>
    <row r="1277" spans="1:15" ht="18" x14ac:dyDescent="0.55000000000000004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</row>
    <row r="1278" spans="1:15" ht="18" x14ac:dyDescent="0.55000000000000004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</row>
    <row r="1279" spans="1:15" ht="18" x14ac:dyDescent="0.55000000000000004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</row>
    <row r="1280" spans="1:15" ht="18" x14ac:dyDescent="0.55000000000000004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</row>
    <row r="1281" spans="1:15" ht="18" x14ac:dyDescent="0.55000000000000004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</row>
    <row r="1282" spans="1:15" ht="18" x14ac:dyDescent="0.55000000000000004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</row>
    <row r="1283" spans="1:15" ht="18" x14ac:dyDescent="0.55000000000000004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</row>
    <row r="1284" spans="1:15" ht="18" x14ac:dyDescent="0.55000000000000004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</row>
    <row r="1285" spans="1:15" ht="18" x14ac:dyDescent="0.55000000000000004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</row>
    <row r="1286" spans="1:15" ht="18" x14ac:dyDescent="0.55000000000000004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</row>
    <row r="1287" spans="1:15" ht="18" x14ac:dyDescent="0.55000000000000004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</row>
    <row r="1288" spans="1:15" ht="18" x14ac:dyDescent="0.55000000000000004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</row>
    <row r="1289" spans="1:15" ht="18" x14ac:dyDescent="0.55000000000000004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</row>
    <row r="1290" spans="1:15" ht="18" x14ac:dyDescent="0.55000000000000004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</row>
    <row r="1291" spans="1:15" ht="18" x14ac:dyDescent="0.55000000000000004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</row>
    <row r="1292" spans="1:15" ht="18" x14ac:dyDescent="0.55000000000000004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</row>
    <row r="1293" spans="1:15" ht="18" x14ac:dyDescent="0.55000000000000004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</row>
    <row r="1294" spans="1:15" ht="18" x14ac:dyDescent="0.55000000000000004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</row>
    <row r="1295" spans="1:15" ht="18" x14ac:dyDescent="0.55000000000000004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</row>
    <row r="1296" spans="1:15" ht="18" x14ac:dyDescent="0.55000000000000004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</row>
    <row r="1297" spans="1:15" ht="18" x14ac:dyDescent="0.55000000000000004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</row>
    <row r="1298" spans="1:15" ht="18" x14ac:dyDescent="0.55000000000000004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</row>
    <row r="1299" spans="1:15" ht="18" x14ac:dyDescent="0.55000000000000004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</row>
    <row r="1300" spans="1:15" ht="18" x14ac:dyDescent="0.55000000000000004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</row>
    <row r="1301" spans="1:15" ht="18" x14ac:dyDescent="0.55000000000000004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</row>
    <row r="1302" spans="1:15" ht="18" x14ac:dyDescent="0.55000000000000004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</row>
    <row r="1303" spans="1:15" ht="18" x14ac:dyDescent="0.55000000000000004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</row>
    <row r="1304" spans="1:15" ht="18" x14ac:dyDescent="0.55000000000000004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</row>
    <row r="1305" spans="1:15" ht="18" x14ac:dyDescent="0.55000000000000004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</row>
    <row r="1306" spans="1:15" ht="18" x14ac:dyDescent="0.55000000000000004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</row>
    <row r="1307" spans="1:15" ht="18" x14ac:dyDescent="0.55000000000000004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</row>
    <row r="1308" spans="1:15" ht="18" x14ac:dyDescent="0.55000000000000004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</row>
    <row r="1309" spans="1:15" ht="18" x14ac:dyDescent="0.55000000000000004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</row>
    <row r="1310" spans="1:15" ht="18" x14ac:dyDescent="0.55000000000000004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</row>
    <row r="1311" spans="1:15" ht="18" x14ac:dyDescent="0.55000000000000004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</row>
    <row r="1312" spans="1:15" ht="18" x14ac:dyDescent="0.55000000000000004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</row>
    <row r="1313" spans="1:15" ht="18" x14ac:dyDescent="0.55000000000000004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</row>
    <row r="1314" spans="1:15" ht="18" x14ac:dyDescent="0.55000000000000004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</row>
    <row r="1315" spans="1:15" ht="18" x14ac:dyDescent="0.55000000000000004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</row>
    <row r="1316" spans="1:15" ht="18" x14ac:dyDescent="0.55000000000000004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</row>
    <row r="1317" spans="1:15" ht="18" x14ac:dyDescent="0.55000000000000004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</row>
    <row r="1318" spans="1:15" ht="18" x14ac:dyDescent="0.55000000000000004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</row>
    <row r="1319" spans="1:15" ht="18" x14ac:dyDescent="0.55000000000000004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</row>
    <row r="1320" spans="1:15" ht="18" x14ac:dyDescent="0.55000000000000004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</row>
    <row r="1321" spans="1:15" ht="18" x14ac:dyDescent="0.55000000000000004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</row>
    <row r="1322" spans="1:15" ht="18" x14ac:dyDescent="0.55000000000000004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</row>
    <row r="1323" spans="1:15" ht="18" x14ac:dyDescent="0.55000000000000004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</row>
    <row r="1324" spans="1:15" ht="18" x14ac:dyDescent="0.55000000000000004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</row>
    <row r="1325" spans="1:15" ht="18" x14ac:dyDescent="0.55000000000000004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</row>
    <row r="1326" spans="1:15" ht="18" x14ac:dyDescent="0.55000000000000004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</row>
    <row r="1327" spans="1:15" ht="18" x14ac:dyDescent="0.55000000000000004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</row>
    <row r="1328" spans="1:15" ht="18" x14ac:dyDescent="0.55000000000000004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</row>
    <row r="1329" spans="1:15" ht="18" x14ac:dyDescent="0.55000000000000004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</row>
    <row r="1330" spans="1:15" ht="18" x14ac:dyDescent="0.55000000000000004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</row>
    <row r="1331" spans="1:15" ht="18" x14ac:dyDescent="0.55000000000000004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</row>
    <row r="1332" spans="1:15" ht="18" x14ac:dyDescent="0.55000000000000004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</row>
    <row r="1333" spans="1:15" ht="18" x14ac:dyDescent="0.55000000000000004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</row>
    <row r="1334" spans="1:15" ht="18" x14ac:dyDescent="0.55000000000000004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</row>
    <row r="1335" spans="1:15" ht="18" x14ac:dyDescent="0.55000000000000004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</row>
    <row r="1336" spans="1:15" ht="18" x14ac:dyDescent="0.55000000000000004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</row>
    <row r="1337" spans="1:15" ht="18" x14ac:dyDescent="0.55000000000000004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</row>
    <row r="1338" spans="1:15" ht="18" x14ac:dyDescent="0.55000000000000004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</row>
    <row r="1339" spans="1:15" ht="18" x14ac:dyDescent="0.55000000000000004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</row>
    <row r="1340" spans="1:15" ht="18" x14ac:dyDescent="0.55000000000000004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</row>
    <row r="1341" spans="1:15" ht="18" x14ac:dyDescent="0.55000000000000004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</row>
    <row r="1342" spans="1:15" ht="18" x14ac:dyDescent="0.55000000000000004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</row>
    <row r="1343" spans="1:15" ht="18" x14ac:dyDescent="0.55000000000000004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</row>
    <row r="1344" spans="1:15" ht="18" x14ac:dyDescent="0.55000000000000004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</row>
    <row r="1345" spans="1:15" ht="18" x14ac:dyDescent="0.55000000000000004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</row>
    <row r="1346" spans="1:15" ht="18" x14ac:dyDescent="0.55000000000000004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</row>
    <row r="1347" spans="1:15" ht="18" x14ac:dyDescent="0.55000000000000004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</row>
    <row r="1348" spans="1:15" ht="18" x14ac:dyDescent="0.55000000000000004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</row>
    <row r="1349" spans="1:15" ht="18" x14ac:dyDescent="0.55000000000000004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</row>
    <row r="1350" spans="1:15" ht="18" x14ac:dyDescent="0.55000000000000004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</row>
    <row r="1351" spans="1:15" ht="18" x14ac:dyDescent="0.55000000000000004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</row>
    <row r="1352" spans="1:15" ht="18" x14ac:dyDescent="0.55000000000000004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</row>
    <row r="1353" spans="1:15" ht="18" x14ac:dyDescent="0.55000000000000004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</row>
    <row r="1354" spans="1:15" ht="18" x14ac:dyDescent="0.55000000000000004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</row>
    <row r="1355" spans="1:15" ht="18" x14ac:dyDescent="0.55000000000000004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</row>
    <row r="1356" spans="1:15" ht="18" x14ac:dyDescent="0.55000000000000004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</row>
    <row r="1357" spans="1:15" ht="18" x14ac:dyDescent="0.55000000000000004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</row>
    <row r="1358" spans="1:15" ht="18" x14ac:dyDescent="0.55000000000000004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</row>
    <row r="1359" spans="1:15" ht="18" x14ac:dyDescent="0.55000000000000004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</row>
    <row r="1360" spans="1:15" ht="18" x14ac:dyDescent="0.55000000000000004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</row>
    <row r="1361" spans="1:15" ht="18" x14ac:dyDescent="0.55000000000000004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</row>
    <row r="1362" spans="1:15" ht="18" x14ac:dyDescent="0.55000000000000004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</row>
    <row r="1363" spans="1:15" ht="18" x14ac:dyDescent="0.55000000000000004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</row>
    <row r="1364" spans="1:15" ht="18" x14ac:dyDescent="0.55000000000000004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</row>
    <row r="1365" spans="1:15" ht="18" x14ac:dyDescent="0.55000000000000004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</row>
    <row r="1366" spans="1:15" ht="18" x14ac:dyDescent="0.55000000000000004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</row>
    <row r="1367" spans="1:15" ht="18" x14ac:dyDescent="0.55000000000000004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</row>
    <row r="1368" spans="1:15" ht="18" x14ac:dyDescent="0.55000000000000004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</row>
    <row r="1369" spans="1:15" ht="18" x14ac:dyDescent="0.55000000000000004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</row>
    <row r="1370" spans="1:15" ht="18" x14ac:dyDescent="0.55000000000000004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</row>
    <row r="1371" spans="1:15" ht="18" x14ac:dyDescent="0.55000000000000004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</row>
    <row r="1372" spans="1:15" ht="18" x14ac:dyDescent="0.55000000000000004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</row>
    <row r="1373" spans="1:15" ht="18" x14ac:dyDescent="0.55000000000000004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</row>
    <row r="1374" spans="1:15" ht="18" x14ac:dyDescent="0.55000000000000004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</row>
    <row r="1375" spans="1:15" ht="18" x14ac:dyDescent="0.55000000000000004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</row>
    <row r="1376" spans="1:15" ht="18" x14ac:dyDescent="0.55000000000000004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</row>
    <row r="1377" spans="1:15" ht="18" x14ac:dyDescent="0.55000000000000004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</row>
    <row r="1378" spans="1:15" ht="18" x14ac:dyDescent="0.55000000000000004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</row>
    <row r="1379" spans="1:15" ht="18" x14ac:dyDescent="0.55000000000000004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</row>
    <row r="1380" spans="1:15" ht="18" x14ac:dyDescent="0.55000000000000004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</row>
    <row r="1381" spans="1:15" ht="18" x14ac:dyDescent="0.55000000000000004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</row>
    <row r="1382" spans="1:15" ht="18" x14ac:dyDescent="0.55000000000000004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</row>
    <row r="1383" spans="1:15" ht="18" x14ac:dyDescent="0.55000000000000004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</row>
    <row r="1384" spans="1:15" ht="18" x14ac:dyDescent="0.55000000000000004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</row>
    <row r="1385" spans="1:15" ht="18" x14ac:dyDescent="0.55000000000000004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</row>
    <row r="1386" spans="1:15" ht="18" x14ac:dyDescent="0.55000000000000004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</row>
    <row r="1387" spans="1:15" ht="18" x14ac:dyDescent="0.55000000000000004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</row>
    <row r="1388" spans="1:15" ht="18" x14ac:dyDescent="0.55000000000000004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</row>
    <row r="1389" spans="1:15" ht="18" x14ac:dyDescent="0.55000000000000004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</row>
    <row r="1390" spans="1:15" ht="18" x14ac:dyDescent="0.55000000000000004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</row>
    <row r="1391" spans="1:15" ht="18" x14ac:dyDescent="0.55000000000000004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</row>
    <row r="1392" spans="1:15" ht="18" x14ac:dyDescent="0.55000000000000004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</row>
    <row r="1393" spans="1:15" ht="18" x14ac:dyDescent="0.55000000000000004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</row>
    <row r="1394" spans="1:15" ht="18" x14ac:dyDescent="0.55000000000000004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</row>
    <row r="1395" spans="1:15" ht="18" x14ac:dyDescent="0.55000000000000004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</row>
    <row r="1396" spans="1:15" ht="18" x14ac:dyDescent="0.55000000000000004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</row>
    <row r="1397" spans="1:15" ht="18" x14ac:dyDescent="0.55000000000000004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</row>
    <row r="1398" spans="1:15" ht="18" x14ac:dyDescent="0.55000000000000004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</row>
    <row r="1399" spans="1:15" ht="18" x14ac:dyDescent="0.55000000000000004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</row>
    <row r="1400" spans="1:15" ht="18" x14ac:dyDescent="0.55000000000000004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</row>
    <row r="1401" spans="1:15" ht="18" x14ac:dyDescent="0.55000000000000004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</row>
    <row r="1402" spans="1:15" ht="18" x14ac:dyDescent="0.55000000000000004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</row>
    <row r="1403" spans="1:15" ht="18" x14ac:dyDescent="0.55000000000000004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</row>
    <row r="1404" spans="1:15" ht="18" x14ac:dyDescent="0.55000000000000004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</row>
    <row r="1405" spans="1:15" ht="18" x14ac:dyDescent="0.55000000000000004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</row>
    <row r="1406" spans="1:15" ht="18" x14ac:dyDescent="0.55000000000000004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</row>
    <row r="1407" spans="1:15" ht="18" x14ac:dyDescent="0.55000000000000004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</row>
    <row r="1408" spans="1:15" ht="18" x14ac:dyDescent="0.55000000000000004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</row>
    <row r="1409" spans="1:15" ht="18" x14ac:dyDescent="0.55000000000000004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</row>
    <row r="1410" spans="1:15" ht="18" x14ac:dyDescent="0.55000000000000004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</row>
    <row r="1411" spans="1:15" ht="18" x14ac:dyDescent="0.55000000000000004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</row>
    <row r="1412" spans="1:15" ht="18" x14ac:dyDescent="0.55000000000000004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</row>
    <row r="1413" spans="1:15" ht="18" x14ac:dyDescent="0.55000000000000004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</row>
    <row r="1414" spans="1:15" ht="18" x14ac:dyDescent="0.55000000000000004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</row>
    <row r="1415" spans="1:15" ht="18" x14ac:dyDescent="0.55000000000000004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</row>
    <row r="1416" spans="1:15" ht="18" x14ac:dyDescent="0.55000000000000004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</row>
    <row r="1417" spans="1:15" ht="18" x14ac:dyDescent="0.55000000000000004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</row>
    <row r="1418" spans="1:15" ht="18" x14ac:dyDescent="0.55000000000000004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</row>
    <row r="1419" spans="1:15" ht="18" x14ac:dyDescent="0.55000000000000004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</row>
    <row r="1420" spans="1:15" ht="18" x14ac:dyDescent="0.55000000000000004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</row>
    <row r="1421" spans="1:15" ht="18" x14ac:dyDescent="0.55000000000000004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</row>
    <row r="1422" spans="1:15" ht="18" x14ac:dyDescent="0.55000000000000004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</row>
    <row r="1423" spans="1:15" ht="18" x14ac:dyDescent="0.55000000000000004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</row>
    <row r="1424" spans="1:15" ht="18" x14ac:dyDescent="0.55000000000000004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</row>
    <row r="1425" spans="1:15" ht="18" x14ac:dyDescent="0.55000000000000004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</row>
    <row r="1426" spans="1:15" ht="18" x14ac:dyDescent="0.55000000000000004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</row>
    <row r="1427" spans="1:15" ht="18" x14ac:dyDescent="0.55000000000000004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</row>
    <row r="1428" spans="1:15" ht="18" x14ac:dyDescent="0.55000000000000004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</row>
    <row r="1429" spans="1:15" ht="18" x14ac:dyDescent="0.55000000000000004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</row>
    <row r="1430" spans="1:15" ht="18" x14ac:dyDescent="0.55000000000000004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</row>
    <row r="1431" spans="1:15" ht="18" x14ac:dyDescent="0.55000000000000004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</row>
    <row r="1432" spans="1:15" ht="18" x14ac:dyDescent="0.55000000000000004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</row>
    <row r="1433" spans="1:15" ht="18" x14ac:dyDescent="0.55000000000000004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</row>
    <row r="1434" spans="1:15" ht="18" x14ac:dyDescent="0.55000000000000004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</row>
    <row r="1435" spans="1:15" ht="18" x14ac:dyDescent="0.55000000000000004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</row>
    <row r="1436" spans="1:15" ht="18" x14ac:dyDescent="0.55000000000000004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</row>
    <row r="1437" spans="1:15" ht="18" x14ac:dyDescent="0.55000000000000004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</row>
    <row r="1438" spans="1:15" ht="18" x14ac:dyDescent="0.55000000000000004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</row>
    <row r="1439" spans="1:15" ht="18" x14ac:dyDescent="0.55000000000000004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</row>
    <row r="1440" spans="1:15" ht="18" x14ac:dyDescent="0.55000000000000004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</row>
    <row r="1441" spans="1:15" ht="18" x14ac:dyDescent="0.55000000000000004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</row>
    <row r="1442" spans="1:15" ht="18" x14ac:dyDescent="0.55000000000000004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</row>
    <row r="1443" spans="1:15" ht="18" x14ac:dyDescent="0.55000000000000004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</row>
    <row r="1444" spans="1:15" ht="18" x14ac:dyDescent="0.55000000000000004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</row>
    <row r="1445" spans="1:15" ht="18" x14ac:dyDescent="0.55000000000000004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</row>
    <row r="1446" spans="1:15" ht="18" x14ac:dyDescent="0.55000000000000004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</row>
    <row r="1447" spans="1:15" ht="18" x14ac:dyDescent="0.55000000000000004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</row>
    <row r="1448" spans="1:15" ht="18" x14ac:dyDescent="0.55000000000000004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</row>
    <row r="1449" spans="1:15" ht="18" x14ac:dyDescent="0.55000000000000004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</row>
    <row r="1450" spans="1:15" ht="18" x14ac:dyDescent="0.55000000000000004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</row>
    <row r="1451" spans="1:15" ht="18" x14ac:dyDescent="0.55000000000000004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</row>
    <row r="1452" spans="1:15" ht="18" x14ac:dyDescent="0.55000000000000004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</row>
    <row r="1453" spans="1:15" ht="18" x14ac:dyDescent="0.55000000000000004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</row>
    <row r="1454" spans="1:15" ht="18" x14ac:dyDescent="0.55000000000000004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</row>
    <row r="1455" spans="1:15" ht="18" x14ac:dyDescent="0.55000000000000004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</row>
    <row r="1456" spans="1:15" ht="18" x14ac:dyDescent="0.55000000000000004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</row>
    <row r="1457" spans="1:15" ht="18" x14ac:dyDescent="0.55000000000000004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</row>
    <row r="1458" spans="1:15" ht="18" x14ac:dyDescent="0.55000000000000004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</row>
    <row r="1459" spans="1:15" ht="18" x14ac:dyDescent="0.55000000000000004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</row>
    <row r="1460" spans="1:15" ht="18" x14ac:dyDescent="0.55000000000000004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</row>
    <row r="1461" spans="1:15" ht="18" x14ac:dyDescent="0.55000000000000004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</row>
    <row r="1462" spans="1:15" ht="18" x14ac:dyDescent="0.55000000000000004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</row>
    <row r="1463" spans="1:15" ht="18" x14ac:dyDescent="0.55000000000000004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</row>
    <row r="1464" spans="1:15" ht="18" x14ac:dyDescent="0.55000000000000004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</row>
    <row r="1465" spans="1:15" ht="18" x14ac:dyDescent="0.55000000000000004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</row>
    <row r="1466" spans="1:15" ht="18" x14ac:dyDescent="0.55000000000000004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</row>
    <row r="1467" spans="1:15" ht="18" x14ac:dyDescent="0.55000000000000004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</row>
    <row r="1468" spans="1:15" ht="18" x14ac:dyDescent="0.55000000000000004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</row>
    <row r="1469" spans="1:15" ht="18" x14ac:dyDescent="0.55000000000000004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</row>
    <row r="1470" spans="1:15" ht="18" x14ac:dyDescent="0.55000000000000004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</row>
    <row r="1471" spans="1:15" ht="18" x14ac:dyDescent="0.55000000000000004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</row>
    <row r="1472" spans="1:15" ht="18" x14ac:dyDescent="0.55000000000000004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</row>
    <row r="1473" spans="1:15" ht="18" x14ac:dyDescent="0.55000000000000004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</row>
    <row r="1474" spans="1:15" ht="18" x14ac:dyDescent="0.55000000000000004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</row>
    <row r="1475" spans="1:15" ht="18" x14ac:dyDescent="0.55000000000000004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</row>
    <row r="1476" spans="1:15" ht="18" x14ac:dyDescent="0.55000000000000004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</row>
    <row r="1477" spans="1:15" ht="18" x14ac:dyDescent="0.55000000000000004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</row>
    <row r="1478" spans="1:15" ht="18" x14ac:dyDescent="0.55000000000000004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</row>
    <row r="1479" spans="1:15" ht="18" x14ac:dyDescent="0.55000000000000004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</row>
    <row r="1480" spans="1:15" ht="18" x14ac:dyDescent="0.55000000000000004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</row>
    <row r="1481" spans="1:15" ht="18" x14ac:dyDescent="0.55000000000000004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</row>
    <row r="1482" spans="1:15" ht="18" x14ac:dyDescent="0.55000000000000004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</row>
    <row r="1483" spans="1:15" ht="18" x14ac:dyDescent="0.55000000000000004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</row>
    <row r="1484" spans="1:15" ht="18" x14ac:dyDescent="0.55000000000000004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</row>
    <row r="1485" spans="1:15" ht="18" x14ac:dyDescent="0.55000000000000004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</row>
    <row r="1486" spans="1:15" ht="18" x14ac:dyDescent="0.55000000000000004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</row>
    <row r="1487" spans="1:15" ht="18" x14ac:dyDescent="0.55000000000000004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</row>
    <row r="1488" spans="1:15" ht="18" x14ac:dyDescent="0.55000000000000004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</row>
    <row r="1489" spans="1:15" ht="18" x14ac:dyDescent="0.55000000000000004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</row>
    <row r="1490" spans="1:15" ht="18" x14ac:dyDescent="0.55000000000000004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</row>
    <row r="1491" spans="1:15" ht="18" x14ac:dyDescent="0.55000000000000004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</row>
    <row r="1492" spans="1:15" ht="18" x14ac:dyDescent="0.55000000000000004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</row>
    <row r="1493" spans="1:15" ht="18" x14ac:dyDescent="0.55000000000000004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</row>
    <row r="1494" spans="1:15" ht="18" x14ac:dyDescent="0.55000000000000004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</row>
    <row r="1495" spans="1:15" ht="18" x14ac:dyDescent="0.55000000000000004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</row>
    <row r="1496" spans="1:15" ht="18" x14ac:dyDescent="0.55000000000000004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</row>
    <row r="1497" spans="1:15" ht="18" x14ac:dyDescent="0.55000000000000004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</row>
    <row r="1498" spans="1:15" ht="18" x14ac:dyDescent="0.55000000000000004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</row>
    <row r="1499" spans="1:15" ht="18" x14ac:dyDescent="0.55000000000000004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</row>
    <row r="1500" spans="1:15" ht="18" x14ac:dyDescent="0.55000000000000004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</row>
    <row r="1501" spans="1:15" ht="18" x14ac:dyDescent="0.55000000000000004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</row>
    <row r="1502" spans="1:15" ht="18" x14ac:dyDescent="0.55000000000000004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</row>
    <row r="1503" spans="1:15" ht="18" x14ac:dyDescent="0.55000000000000004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</row>
    <row r="1504" spans="1:15" ht="18" x14ac:dyDescent="0.55000000000000004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</row>
    <row r="1505" spans="1:15" ht="18" x14ac:dyDescent="0.55000000000000004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</row>
    <row r="1506" spans="1:15" ht="18" x14ac:dyDescent="0.55000000000000004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</row>
    <row r="1507" spans="1:15" ht="18" x14ac:dyDescent="0.55000000000000004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</row>
    <row r="1508" spans="1:15" ht="18" x14ac:dyDescent="0.55000000000000004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</row>
    <row r="1509" spans="1:15" ht="18" x14ac:dyDescent="0.55000000000000004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</row>
    <row r="1510" spans="1:15" ht="18" x14ac:dyDescent="0.55000000000000004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</row>
    <row r="1511" spans="1:15" ht="18" x14ac:dyDescent="0.55000000000000004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</row>
    <row r="1512" spans="1:15" ht="18" x14ac:dyDescent="0.55000000000000004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</row>
    <row r="1513" spans="1:15" ht="18" x14ac:dyDescent="0.55000000000000004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</row>
    <row r="1514" spans="1:15" ht="18" x14ac:dyDescent="0.55000000000000004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</row>
    <row r="1515" spans="1:15" ht="18" x14ac:dyDescent="0.55000000000000004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</row>
    <row r="1516" spans="1:15" ht="18" x14ac:dyDescent="0.55000000000000004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</row>
    <row r="1517" spans="1:15" ht="18" x14ac:dyDescent="0.55000000000000004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</row>
    <row r="1518" spans="1:15" ht="18" x14ac:dyDescent="0.55000000000000004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</row>
    <row r="1519" spans="1:15" ht="18" x14ac:dyDescent="0.55000000000000004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</row>
    <row r="1520" spans="1:15" ht="18" x14ac:dyDescent="0.55000000000000004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</row>
    <row r="1521" spans="1:15" ht="18" x14ac:dyDescent="0.55000000000000004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</row>
    <row r="1522" spans="1:15" ht="18" x14ac:dyDescent="0.55000000000000004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</row>
    <row r="1523" spans="1:15" ht="18" x14ac:dyDescent="0.55000000000000004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</row>
    <row r="1524" spans="1:15" ht="18" x14ac:dyDescent="0.55000000000000004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</row>
    <row r="1525" spans="1:15" ht="18" x14ac:dyDescent="0.55000000000000004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</row>
    <row r="1526" spans="1:15" ht="18" x14ac:dyDescent="0.55000000000000004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</row>
    <row r="1527" spans="1:15" ht="18" x14ac:dyDescent="0.55000000000000004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</row>
    <row r="1528" spans="1:15" ht="18" x14ac:dyDescent="0.55000000000000004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</row>
    <row r="1529" spans="1:15" ht="18" x14ac:dyDescent="0.55000000000000004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</row>
    <row r="1530" spans="1:15" ht="18" x14ac:dyDescent="0.55000000000000004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</row>
    <row r="1531" spans="1:15" ht="18" x14ac:dyDescent="0.55000000000000004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</row>
    <row r="1532" spans="1:15" ht="18" x14ac:dyDescent="0.55000000000000004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</row>
    <row r="1533" spans="1:15" ht="18" x14ac:dyDescent="0.55000000000000004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</row>
    <row r="1534" spans="1:15" ht="18" x14ac:dyDescent="0.55000000000000004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</row>
    <row r="1535" spans="1:15" ht="18" x14ac:dyDescent="0.55000000000000004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</row>
    <row r="1536" spans="1:15" ht="18" x14ac:dyDescent="0.55000000000000004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</row>
    <row r="1537" spans="1:15" ht="18" x14ac:dyDescent="0.55000000000000004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</row>
    <row r="1538" spans="1:15" ht="18" x14ac:dyDescent="0.55000000000000004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</row>
    <row r="1539" spans="1:15" ht="18" x14ac:dyDescent="0.55000000000000004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</row>
    <row r="1540" spans="1:15" ht="18" x14ac:dyDescent="0.55000000000000004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</row>
    <row r="1541" spans="1:15" ht="18" x14ac:dyDescent="0.55000000000000004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</row>
    <row r="1542" spans="1:15" ht="18" x14ac:dyDescent="0.55000000000000004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</row>
    <row r="1543" spans="1:15" ht="18" x14ac:dyDescent="0.55000000000000004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</row>
    <row r="1544" spans="1:15" ht="18" x14ac:dyDescent="0.55000000000000004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</row>
    <row r="1545" spans="1:15" ht="18" x14ac:dyDescent="0.55000000000000004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</row>
    <row r="1546" spans="1:15" ht="18" x14ac:dyDescent="0.55000000000000004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</row>
    <row r="1547" spans="1:15" ht="18" x14ac:dyDescent="0.55000000000000004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</row>
    <row r="1548" spans="1:15" ht="18" x14ac:dyDescent="0.55000000000000004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</row>
    <row r="1549" spans="1:15" ht="18" x14ac:dyDescent="0.55000000000000004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</row>
    <row r="1550" spans="1:15" ht="18" x14ac:dyDescent="0.55000000000000004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</row>
    <row r="1551" spans="1:15" ht="18" x14ac:dyDescent="0.55000000000000004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</row>
    <row r="1552" spans="1:15" ht="18" x14ac:dyDescent="0.55000000000000004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</row>
    <row r="1553" spans="1:15" ht="18" x14ac:dyDescent="0.55000000000000004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</row>
    <row r="1554" spans="1:15" ht="18" x14ac:dyDescent="0.55000000000000004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</row>
    <row r="1555" spans="1:15" ht="18" x14ac:dyDescent="0.55000000000000004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</row>
    <row r="1556" spans="1:15" ht="18" x14ac:dyDescent="0.55000000000000004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</row>
    <row r="1557" spans="1:15" ht="18" x14ac:dyDescent="0.55000000000000004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</row>
    <row r="1558" spans="1:15" ht="18" x14ac:dyDescent="0.55000000000000004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</row>
    <row r="1559" spans="1:15" ht="18" x14ac:dyDescent="0.55000000000000004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</row>
    <row r="1560" spans="1:15" ht="18" x14ac:dyDescent="0.55000000000000004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</row>
    <row r="1561" spans="1:15" ht="18" x14ac:dyDescent="0.55000000000000004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</row>
    <row r="1562" spans="1:15" ht="18" x14ac:dyDescent="0.55000000000000004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</row>
    <row r="1563" spans="1:15" ht="18" x14ac:dyDescent="0.55000000000000004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</row>
    <row r="1564" spans="1:15" ht="18" x14ac:dyDescent="0.55000000000000004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</row>
    <row r="1565" spans="1:15" ht="18" x14ac:dyDescent="0.55000000000000004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</row>
    <row r="1566" spans="1:15" ht="18" x14ac:dyDescent="0.55000000000000004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</row>
    <row r="1567" spans="1:15" ht="18" x14ac:dyDescent="0.55000000000000004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</row>
    <row r="1568" spans="1:15" ht="18" x14ac:dyDescent="0.55000000000000004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</row>
    <row r="1569" spans="1:15" ht="18" x14ac:dyDescent="0.55000000000000004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</row>
    <row r="1570" spans="1:15" ht="18" x14ac:dyDescent="0.55000000000000004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</row>
    <row r="1571" spans="1:15" ht="18" x14ac:dyDescent="0.55000000000000004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</row>
    <row r="1572" spans="1:15" ht="18" x14ac:dyDescent="0.55000000000000004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</row>
    <row r="1573" spans="1:15" ht="18" x14ac:dyDescent="0.55000000000000004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</row>
    <row r="1574" spans="1:15" ht="18" x14ac:dyDescent="0.55000000000000004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</row>
    <row r="1575" spans="1:15" ht="18" x14ac:dyDescent="0.55000000000000004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</row>
    <row r="1576" spans="1:15" ht="18" x14ac:dyDescent="0.55000000000000004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</row>
    <row r="1577" spans="1:15" ht="18" x14ac:dyDescent="0.55000000000000004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</row>
    <row r="1578" spans="1:15" ht="18" x14ac:dyDescent="0.55000000000000004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</row>
    <row r="1579" spans="1:15" ht="18" x14ac:dyDescent="0.55000000000000004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</row>
    <row r="1580" spans="1:15" ht="18" x14ac:dyDescent="0.55000000000000004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</row>
    <row r="1581" spans="1:15" ht="18" x14ac:dyDescent="0.55000000000000004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</row>
    <row r="1582" spans="1:15" ht="18" x14ac:dyDescent="0.55000000000000004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</row>
    <row r="1583" spans="1:15" ht="18" x14ac:dyDescent="0.55000000000000004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</row>
    <row r="1584" spans="1:15" ht="18" x14ac:dyDescent="0.55000000000000004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</row>
    <row r="1585" spans="1:15" ht="18" x14ac:dyDescent="0.55000000000000004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</row>
    <row r="1586" spans="1:15" ht="18" x14ac:dyDescent="0.55000000000000004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</row>
    <row r="1587" spans="1:15" ht="18" x14ac:dyDescent="0.55000000000000004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</row>
    <row r="1588" spans="1:15" ht="18" x14ac:dyDescent="0.55000000000000004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</row>
    <row r="1589" spans="1:15" ht="18" x14ac:dyDescent="0.55000000000000004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</row>
    <row r="1590" spans="1:15" ht="18" x14ac:dyDescent="0.55000000000000004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</row>
    <row r="1591" spans="1:15" ht="18" x14ac:dyDescent="0.55000000000000004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</row>
    <row r="1592" spans="1:15" ht="18" x14ac:dyDescent="0.55000000000000004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</row>
    <row r="1593" spans="1:15" ht="18" x14ac:dyDescent="0.55000000000000004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</row>
    <row r="1594" spans="1:15" ht="18" x14ac:dyDescent="0.55000000000000004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</row>
    <row r="1595" spans="1:15" ht="18" x14ac:dyDescent="0.55000000000000004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</row>
    <row r="1596" spans="1:15" ht="18" x14ac:dyDescent="0.55000000000000004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</row>
    <row r="1597" spans="1:15" ht="18" x14ac:dyDescent="0.55000000000000004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</row>
    <row r="1598" spans="1:15" ht="18" x14ac:dyDescent="0.55000000000000004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</row>
    <row r="1599" spans="1:15" ht="18" x14ac:dyDescent="0.55000000000000004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</row>
    <row r="1600" spans="1:15" ht="18" x14ac:dyDescent="0.55000000000000004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</row>
    <row r="1601" spans="1:15" ht="18" x14ac:dyDescent="0.55000000000000004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</row>
    <row r="1602" spans="1:15" ht="18" x14ac:dyDescent="0.55000000000000004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</row>
    <row r="1603" spans="1:15" ht="18" x14ac:dyDescent="0.55000000000000004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</row>
    <row r="1604" spans="1:15" ht="18" x14ac:dyDescent="0.55000000000000004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</row>
    <row r="1605" spans="1:15" ht="18" x14ac:dyDescent="0.55000000000000004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</row>
    <row r="1606" spans="1:15" ht="18" x14ac:dyDescent="0.55000000000000004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</row>
    <row r="1607" spans="1:15" ht="18" x14ac:dyDescent="0.55000000000000004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</row>
    <row r="1608" spans="1:15" ht="18" x14ac:dyDescent="0.55000000000000004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</row>
    <row r="1609" spans="1:15" ht="18" x14ac:dyDescent="0.55000000000000004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</row>
    <row r="1610" spans="1:15" ht="18" x14ac:dyDescent="0.55000000000000004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</row>
    <row r="1611" spans="1:15" ht="18" x14ac:dyDescent="0.55000000000000004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</row>
    <row r="1612" spans="1:15" ht="18" x14ac:dyDescent="0.55000000000000004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</row>
    <row r="1613" spans="1:15" ht="18" x14ac:dyDescent="0.55000000000000004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</row>
    <row r="1614" spans="1:15" ht="18" x14ac:dyDescent="0.55000000000000004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</row>
    <row r="1615" spans="1:15" ht="18" x14ac:dyDescent="0.55000000000000004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</row>
    <row r="1616" spans="1:15" ht="18" x14ac:dyDescent="0.55000000000000004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</row>
    <row r="1617" spans="1:15" ht="18" x14ac:dyDescent="0.55000000000000004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</row>
    <row r="1618" spans="1:15" ht="18" x14ac:dyDescent="0.55000000000000004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</row>
    <row r="1619" spans="1:15" ht="18" x14ac:dyDescent="0.55000000000000004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</row>
    <row r="1620" spans="1:15" ht="18" x14ac:dyDescent="0.55000000000000004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</row>
    <row r="1621" spans="1:15" ht="18" x14ac:dyDescent="0.55000000000000004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</row>
    <row r="1622" spans="1:15" ht="18" x14ac:dyDescent="0.55000000000000004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</row>
    <row r="1623" spans="1:15" ht="18" x14ac:dyDescent="0.55000000000000004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</row>
    <row r="1624" spans="1:15" ht="18" x14ac:dyDescent="0.55000000000000004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</row>
    <row r="1625" spans="1:15" ht="18" x14ac:dyDescent="0.55000000000000004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</row>
    <row r="1626" spans="1:15" ht="18" x14ac:dyDescent="0.55000000000000004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</row>
    <row r="1627" spans="1:15" ht="18" x14ac:dyDescent="0.55000000000000004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</row>
    <row r="1628" spans="1:15" ht="18" x14ac:dyDescent="0.55000000000000004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</row>
    <row r="1629" spans="1:15" ht="18" x14ac:dyDescent="0.55000000000000004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</row>
    <row r="1630" spans="1:15" ht="18" x14ac:dyDescent="0.55000000000000004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</row>
    <row r="1631" spans="1:15" ht="18" x14ac:dyDescent="0.55000000000000004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</row>
    <row r="1632" spans="1:15" ht="18" x14ac:dyDescent="0.55000000000000004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</row>
    <row r="1633" spans="1:15" ht="18" x14ac:dyDescent="0.55000000000000004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</row>
    <row r="1634" spans="1:15" ht="18" x14ac:dyDescent="0.55000000000000004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</row>
    <row r="1635" spans="1:15" ht="18" x14ac:dyDescent="0.55000000000000004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</row>
    <row r="1636" spans="1:15" ht="18" x14ac:dyDescent="0.55000000000000004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</row>
    <row r="1637" spans="1:15" ht="18" x14ac:dyDescent="0.55000000000000004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</row>
    <row r="1638" spans="1:15" ht="18" x14ac:dyDescent="0.55000000000000004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</row>
    <row r="1639" spans="1:15" ht="18" x14ac:dyDescent="0.55000000000000004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</row>
    <row r="1640" spans="1:15" ht="18" x14ac:dyDescent="0.55000000000000004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</row>
    <row r="1641" spans="1:15" ht="18" x14ac:dyDescent="0.55000000000000004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</row>
    <row r="1642" spans="1:15" ht="18" x14ac:dyDescent="0.55000000000000004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</row>
    <row r="1643" spans="1:15" ht="18" x14ac:dyDescent="0.55000000000000004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</row>
    <row r="1644" spans="1:15" ht="18" x14ac:dyDescent="0.55000000000000004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</row>
    <row r="1645" spans="1:15" ht="18" x14ac:dyDescent="0.55000000000000004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</row>
    <row r="1646" spans="1:15" ht="18" x14ac:dyDescent="0.55000000000000004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</row>
    <row r="1647" spans="1:15" ht="18" x14ac:dyDescent="0.55000000000000004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</row>
    <row r="1648" spans="1:15" ht="18" x14ac:dyDescent="0.55000000000000004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</row>
    <row r="1649" spans="1:15" ht="18" x14ac:dyDescent="0.55000000000000004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</row>
    <row r="1650" spans="1:15" ht="18" x14ac:dyDescent="0.55000000000000004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</row>
    <row r="1651" spans="1:15" ht="18" x14ac:dyDescent="0.55000000000000004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</row>
    <row r="1652" spans="1:15" ht="18" x14ac:dyDescent="0.55000000000000004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</row>
    <row r="1653" spans="1:15" ht="18" x14ac:dyDescent="0.55000000000000004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</row>
    <row r="1654" spans="1:15" ht="18" x14ac:dyDescent="0.55000000000000004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</row>
    <row r="1655" spans="1:15" ht="18" x14ac:dyDescent="0.55000000000000004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</row>
    <row r="1656" spans="1:15" ht="18" x14ac:dyDescent="0.55000000000000004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</row>
    <row r="1657" spans="1:15" ht="18" x14ac:dyDescent="0.55000000000000004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</row>
    <row r="1658" spans="1:15" ht="18" x14ac:dyDescent="0.55000000000000004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</row>
    <row r="1659" spans="1:15" ht="18" x14ac:dyDescent="0.55000000000000004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</row>
    <row r="1660" spans="1:15" ht="18" x14ac:dyDescent="0.55000000000000004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</row>
    <row r="1661" spans="1:15" ht="18" x14ac:dyDescent="0.55000000000000004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</row>
    <row r="1662" spans="1:15" ht="18" x14ac:dyDescent="0.55000000000000004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</row>
    <row r="1663" spans="1:15" ht="18" x14ac:dyDescent="0.55000000000000004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</row>
    <row r="1664" spans="1:15" ht="18" x14ac:dyDescent="0.55000000000000004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</row>
    <row r="1665" spans="1:15" ht="18" x14ac:dyDescent="0.55000000000000004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</row>
    <row r="1666" spans="1:15" ht="18" x14ac:dyDescent="0.55000000000000004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</row>
    <row r="1667" spans="1:15" ht="18" x14ac:dyDescent="0.55000000000000004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</row>
    <row r="1668" spans="1:15" ht="18" x14ac:dyDescent="0.55000000000000004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</row>
    <row r="1669" spans="1:15" ht="18" x14ac:dyDescent="0.55000000000000004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</row>
    <row r="1670" spans="1:15" ht="18" x14ac:dyDescent="0.55000000000000004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</row>
    <row r="1671" spans="1:15" ht="18" x14ac:dyDescent="0.55000000000000004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</row>
    <row r="1672" spans="1:15" ht="18" x14ac:dyDescent="0.55000000000000004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</row>
    <row r="1673" spans="1:15" ht="18" x14ac:dyDescent="0.55000000000000004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</row>
    <row r="1674" spans="1:15" ht="18" x14ac:dyDescent="0.55000000000000004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</row>
    <row r="1675" spans="1:15" ht="18" x14ac:dyDescent="0.55000000000000004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</row>
    <row r="1676" spans="1:15" ht="18" x14ac:dyDescent="0.55000000000000004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</row>
    <row r="1677" spans="1:15" ht="18" x14ac:dyDescent="0.55000000000000004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</row>
    <row r="1678" spans="1:15" ht="18" x14ac:dyDescent="0.55000000000000004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</row>
    <row r="1679" spans="1:15" ht="18" x14ac:dyDescent="0.55000000000000004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</row>
    <row r="1680" spans="1:15" ht="18" x14ac:dyDescent="0.55000000000000004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</row>
    <row r="1681" spans="1:15" ht="18" x14ac:dyDescent="0.55000000000000004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</row>
    <row r="1682" spans="1:15" ht="18" x14ac:dyDescent="0.55000000000000004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</row>
    <row r="1683" spans="1:15" ht="18" x14ac:dyDescent="0.55000000000000004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</row>
    <row r="1684" spans="1:15" ht="18" x14ac:dyDescent="0.55000000000000004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</row>
    <row r="1685" spans="1:15" ht="18" x14ac:dyDescent="0.55000000000000004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</row>
    <row r="1686" spans="1:15" ht="18" x14ac:dyDescent="0.55000000000000004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</row>
    <row r="1687" spans="1:15" ht="18" x14ac:dyDescent="0.55000000000000004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</row>
    <row r="1688" spans="1:15" ht="18" x14ac:dyDescent="0.55000000000000004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</row>
    <row r="1689" spans="1:15" ht="18" x14ac:dyDescent="0.55000000000000004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</row>
    <row r="1690" spans="1:15" ht="18" x14ac:dyDescent="0.55000000000000004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</row>
    <row r="1691" spans="1:15" ht="18" x14ac:dyDescent="0.55000000000000004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</row>
    <row r="1692" spans="1:15" ht="18" x14ac:dyDescent="0.55000000000000004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</row>
    <row r="1693" spans="1:15" ht="18" x14ac:dyDescent="0.55000000000000004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</row>
    <row r="1694" spans="1:15" ht="18" x14ac:dyDescent="0.55000000000000004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</row>
    <row r="1695" spans="1:15" ht="18" x14ac:dyDescent="0.55000000000000004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</row>
    <row r="1696" spans="1:15" ht="18" x14ac:dyDescent="0.55000000000000004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</row>
    <row r="1697" spans="1:15" ht="18" x14ac:dyDescent="0.55000000000000004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</row>
    <row r="1698" spans="1:15" ht="18" x14ac:dyDescent="0.55000000000000004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</row>
    <row r="1699" spans="1:15" ht="18" x14ac:dyDescent="0.55000000000000004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</row>
    <row r="1700" spans="1:15" ht="18" x14ac:dyDescent="0.55000000000000004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</row>
    <row r="1701" spans="1:15" ht="18" x14ac:dyDescent="0.55000000000000004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</row>
    <row r="1702" spans="1:15" ht="18" x14ac:dyDescent="0.55000000000000004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</row>
    <row r="1703" spans="1:15" ht="18" x14ac:dyDescent="0.55000000000000004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</row>
    <row r="1704" spans="1:15" ht="18" x14ac:dyDescent="0.55000000000000004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</row>
    <row r="1705" spans="1:15" ht="18" x14ac:dyDescent="0.55000000000000004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</row>
    <row r="1706" spans="1:15" ht="18" x14ac:dyDescent="0.55000000000000004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</row>
    <row r="1707" spans="1:15" ht="18" x14ac:dyDescent="0.55000000000000004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</row>
    <row r="1708" spans="1:15" ht="18" x14ac:dyDescent="0.55000000000000004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</row>
    <row r="1709" spans="1:15" ht="18" x14ac:dyDescent="0.55000000000000004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</row>
    <row r="1710" spans="1:15" ht="18" x14ac:dyDescent="0.55000000000000004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</row>
    <row r="1711" spans="1:15" ht="18" x14ac:dyDescent="0.55000000000000004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</row>
    <row r="1712" spans="1:15" ht="18" x14ac:dyDescent="0.55000000000000004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</row>
    <row r="1713" spans="1:15" ht="18" x14ac:dyDescent="0.55000000000000004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</row>
    <row r="1714" spans="1:15" ht="18" x14ac:dyDescent="0.55000000000000004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</row>
    <row r="1715" spans="1:15" ht="18" x14ac:dyDescent="0.55000000000000004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</row>
    <row r="1716" spans="1:15" ht="18" x14ac:dyDescent="0.55000000000000004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</row>
    <row r="1717" spans="1:15" ht="18" x14ac:dyDescent="0.55000000000000004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</row>
    <row r="1718" spans="1:15" ht="18" x14ac:dyDescent="0.55000000000000004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</row>
    <row r="1719" spans="1:15" ht="18" x14ac:dyDescent="0.55000000000000004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</row>
    <row r="1720" spans="1:15" ht="18" x14ac:dyDescent="0.55000000000000004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</row>
    <row r="1721" spans="1:15" ht="18" x14ac:dyDescent="0.55000000000000004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</row>
    <row r="1722" spans="1:15" ht="18" x14ac:dyDescent="0.55000000000000004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</row>
    <row r="1723" spans="1:15" ht="18" x14ac:dyDescent="0.55000000000000004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</row>
    <row r="1724" spans="1:15" ht="18" x14ac:dyDescent="0.55000000000000004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</row>
    <row r="1725" spans="1:15" ht="18" x14ac:dyDescent="0.55000000000000004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</row>
    <row r="1726" spans="1:15" ht="18" x14ac:dyDescent="0.55000000000000004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</row>
    <row r="1727" spans="1:15" ht="18" x14ac:dyDescent="0.55000000000000004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</row>
    <row r="1728" spans="1:15" ht="18" x14ac:dyDescent="0.55000000000000004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</row>
    <row r="1729" spans="1:15" ht="18" x14ac:dyDescent="0.55000000000000004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</row>
    <row r="1730" spans="1:15" ht="18" x14ac:dyDescent="0.55000000000000004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</row>
    <row r="1731" spans="1:15" ht="18" x14ac:dyDescent="0.55000000000000004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</row>
    <row r="1732" spans="1:15" ht="18" x14ac:dyDescent="0.55000000000000004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</row>
    <row r="1733" spans="1:15" ht="18" x14ac:dyDescent="0.55000000000000004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</row>
    <row r="1734" spans="1:15" ht="18" x14ac:dyDescent="0.55000000000000004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</row>
    <row r="1735" spans="1:15" ht="18" x14ac:dyDescent="0.55000000000000004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</row>
    <row r="1736" spans="1:15" ht="18" x14ac:dyDescent="0.55000000000000004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</row>
    <row r="1737" spans="1:15" ht="18" x14ac:dyDescent="0.55000000000000004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</row>
    <row r="1738" spans="1:15" ht="18" x14ac:dyDescent="0.55000000000000004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</row>
    <row r="1739" spans="1:15" ht="18" x14ac:dyDescent="0.55000000000000004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</row>
    <row r="1740" spans="1:15" ht="18" x14ac:dyDescent="0.55000000000000004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</row>
    <row r="1741" spans="1:15" ht="18" x14ac:dyDescent="0.55000000000000004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</row>
    <row r="1742" spans="1:15" ht="18" x14ac:dyDescent="0.55000000000000004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</row>
    <row r="1743" spans="1:15" ht="18" x14ac:dyDescent="0.55000000000000004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</row>
    <row r="1744" spans="1:15" ht="18" x14ac:dyDescent="0.55000000000000004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</row>
    <row r="1745" spans="1:15" ht="18" x14ac:dyDescent="0.55000000000000004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</row>
    <row r="1746" spans="1:15" ht="18" x14ac:dyDescent="0.55000000000000004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</row>
    <row r="1747" spans="1:15" ht="18" x14ac:dyDescent="0.55000000000000004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</row>
    <row r="1748" spans="1:15" ht="18" x14ac:dyDescent="0.55000000000000004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</row>
    <row r="1749" spans="1:15" ht="18" x14ac:dyDescent="0.55000000000000004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</row>
    <row r="1750" spans="1:15" ht="18" x14ac:dyDescent="0.55000000000000004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</row>
    <row r="1751" spans="1:15" ht="18" x14ac:dyDescent="0.55000000000000004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</row>
    <row r="1752" spans="1:15" ht="18" x14ac:dyDescent="0.55000000000000004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</row>
    <row r="1753" spans="1:15" ht="18" x14ac:dyDescent="0.55000000000000004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</row>
    <row r="1754" spans="1:15" ht="18" x14ac:dyDescent="0.55000000000000004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</row>
    <row r="1755" spans="1:15" ht="18" x14ac:dyDescent="0.55000000000000004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</row>
    <row r="1756" spans="1:15" ht="18" x14ac:dyDescent="0.55000000000000004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</row>
    <row r="1757" spans="1:15" ht="18" x14ac:dyDescent="0.55000000000000004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</row>
    <row r="1758" spans="1:15" ht="18" x14ac:dyDescent="0.55000000000000004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</row>
    <row r="1759" spans="1:15" ht="18" x14ac:dyDescent="0.55000000000000004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</row>
    <row r="1760" spans="1:15" ht="18" x14ac:dyDescent="0.55000000000000004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</row>
    <row r="1761" spans="1:15" ht="18" x14ac:dyDescent="0.55000000000000004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</row>
    <row r="1762" spans="1:15" ht="18" x14ac:dyDescent="0.55000000000000004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</row>
    <row r="1763" spans="1:15" ht="18" x14ac:dyDescent="0.55000000000000004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</row>
    <row r="1764" spans="1:15" ht="18" x14ac:dyDescent="0.55000000000000004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</row>
    <row r="1765" spans="1:15" ht="18" x14ac:dyDescent="0.55000000000000004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</row>
    <row r="1766" spans="1:15" ht="18" x14ac:dyDescent="0.55000000000000004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</row>
    <row r="1767" spans="1:15" ht="18" x14ac:dyDescent="0.55000000000000004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</row>
    <row r="1768" spans="1:15" ht="18" x14ac:dyDescent="0.55000000000000004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</row>
    <row r="1769" spans="1:15" ht="18" x14ac:dyDescent="0.55000000000000004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</row>
    <row r="1770" spans="1:15" ht="18" x14ac:dyDescent="0.55000000000000004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</row>
    <row r="1771" spans="1:15" ht="18" x14ac:dyDescent="0.55000000000000004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</row>
    <row r="1772" spans="1:15" ht="18" x14ac:dyDescent="0.55000000000000004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</row>
    <row r="1773" spans="1:15" ht="18" x14ac:dyDescent="0.55000000000000004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</row>
    <row r="1774" spans="1:15" ht="18" x14ac:dyDescent="0.55000000000000004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</row>
    <row r="1775" spans="1:15" ht="18" x14ac:dyDescent="0.55000000000000004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</row>
    <row r="1776" spans="1:15" ht="18" x14ac:dyDescent="0.55000000000000004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</row>
    <row r="1777" spans="1:15" ht="18" x14ac:dyDescent="0.55000000000000004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</row>
    <row r="1778" spans="1:15" ht="18" x14ac:dyDescent="0.55000000000000004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</row>
    <row r="1779" spans="1:15" ht="18" x14ac:dyDescent="0.55000000000000004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</row>
    <row r="1780" spans="1:15" ht="18" x14ac:dyDescent="0.55000000000000004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</row>
    <row r="1781" spans="1:15" ht="18" x14ac:dyDescent="0.55000000000000004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</row>
    <row r="1782" spans="1:15" ht="18" x14ac:dyDescent="0.55000000000000004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</row>
    <row r="1783" spans="1:15" ht="18" x14ac:dyDescent="0.55000000000000004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</row>
    <row r="1784" spans="1:15" ht="18" x14ac:dyDescent="0.55000000000000004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</row>
    <row r="1785" spans="1:15" ht="18" x14ac:dyDescent="0.55000000000000004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</row>
    <row r="1786" spans="1:15" ht="18" x14ac:dyDescent="0.55000000000000004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</row>
    <row r="1787" spans="1:15" ht="18" x14ac:dyDescent="0.55000000000000004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</row>
    <row r="1788" spans="1:15" ht="18" x14ac:dyDescent="0.55000000000000004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</row>
    <row r="1789" spans="1:15" ht="18" x14ac:dyDescent="0.55000000000000004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</row>
    <row r="1790" spans="1:15" ht="18" x14ac:dyDescent="0.55000000000000004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</row>
    <row r="1791" spans="1:15" ht="18" x14ac:dyDescent="0.55000000000000004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</row>
    <row r="1792" spans="1:15" ht="18" x14ac:dyDescent="0.55000000000000004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</row>
    <row r="1793" spans="1:15" ht="18" x14ac:dyDescent="0.55000000000000004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</row>
    <row r="1794" spans="1:15" ht="18" x14ac:dyDescent="0.55000000000000004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</row>
    <row r="1795" spans="1:15" ht="18" x14ac:dyDescent="0.55000000000000004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</row>
    <row r="1796" spans="1:15" ht="18" x14ac:dyDescent="0.55000000000000004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</row>
    <row r="1797" spans="1:15" ht="18" x14ac:dyDescent="0.55000000000000004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</row>
    <row r="1798" spans="1:15" ht="18" x14ac:dyDescent="0.55000000000000004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</row>
    <row r="1799" spans="1:15" ht="18" x14ac:dyDescent="0.55000000000000004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</row>
    <row r="1800" spans="1:15" ht="18" x14ac:dyDescent="0.55000000000000004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</row>
    <row r="1801" spans="1:15" ht="18" x14ac:dyDescent="0.55000000000000004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</row>
    <row r="1802" spans="1:15" ht="18" x14ac:dyDescent="0.55000000000000004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</row>
    <row r="1803" spans="1:15" ht="18" x14ac:dyDescent="0.55000000000000004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</row>
    <row r="1804" spans="1:15" ht="18" x14ac:dyDescent="0.55000000000000004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</row>
    <row r="1805" spans="1:15" ht="18" x14ac:dyDescent="0.55000000000000004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</row>
    <row r="1806" spans="1:15" ht="18" x14ac:dyDescent="0.55000000000000004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</row>
    <row r="1807" spans="1:15" ht="18" x14ac:dyDescent="0.55000000000000004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</row>
    <row r="1808" spans="1:15" ht="18" x14ac:dyDescent="0.55000000000000004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</row>
    <row r="1809" spans="1:15" ht="18" x14ac:dyDescent="0.55000000000000004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</row>
    <row r="1810" spans="1:15" ht="18" x14ac:dyDescent="0.55000000000000004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</row>
    <row r="1811" spans="1:15" ht="18" x14ac:dyDescent="0.55000000000000004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</row>
    <row r="1812" spans="1:15" ht="18" x14ac:dyDescent="0.55000000000000004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</row>
    <row r="1813" spans="1:15" ht="18" x14ac:dyDescent="0.55000000000000004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</row>
    <row r="1814" spans="1:15" ht="18" x14ac:dyDescent="0.55000000000000004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</row>
    <row r="1815" spans="1:15" ht="18" x14ac:dyDescent="0.55000000000000004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</row>
    <row r="1816" spans="1:15" ht="18" x14ac:dyDescent="0.55000000000000004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</row>
    <row r="1817" spans="1:15" ht="18" x14ac:dyDescent="0.55000000000000004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</row>
    <row r="1818" spans="1:15" ht="18" x14ac:dyDescent="0.55000000000000004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</row>
    <row r="1819" spans="1:15" ht="18" x14ac:dyDescent="0.55000000000000004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</row>
    <row r="1820" spans="1:15" ht="18" x14ac:dyDescent="0.55000000000000004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</row>
    <row r="1821" spans="1:15" ht="18" x14ac:dyDescent="0.55000000000000004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</row>
    <row r="1822" spans="1:15" ht="18" x14ac:dyDescent="0.55000000000000004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</row>
    <row r="1823" spans="1:15" ht="18" x14ac:dyDescent="0.55000000000000004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</row>
    <row r="1824" spans="1:15" ht="18" x14ac:dyDescent="0.55000000000000004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</row>
    <row r="1825" spans="1:15" ht="18" x14ac:dyDescent="0.55000000000000004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</row>
    <row r="1826" spans="1:15" ht="18" x14ac:dyDescent="0.55000000000000004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</row>
    <row r="1827" spans="1:15" ht="18" x14ac:dyDescent="0.55000000000000004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</row>
    <row r="1828" spans="1:15" ht="18" x14ac:dyDescent="0.55000000000000004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</row>
    <row r="1829" spans="1:15" ht="18" x14ac:dyDescent="0.55000000000000004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</row>
    <row r="1830" spans="1:15" ht="18" x14ac:dyDescent="0.55000000000000004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</row>
    <row r="1831" spans="1:15" ht="18" x14ac:dyDescent="0.55000000000000004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</row>
    <row r="1832" spans="1:15" ht="18" x14ac:dyDescent="0.55000000000000004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</row>
    <row r="1833" spans="1:15" ht="18" x14ac:dyDescent="0.55000000000000004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</row>
    <row r="1834" spans="1:15" ht="18" x14ac:dyDescent="0.55000000000000004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</row>
    <row r="1835" spans="1:15" ht="18" x14ac:dyDescent="0.55000000000000004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</row>
    <row r="1836" spans="1:15" ht="18" x14ac:dyDescent="0.55000000000000004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</row>
    <row r="1837" spans="1:15" ht="18" x14ac:dyDescent="0.55000000000000004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</row>
    <row r="1838" spans="1:15" ht="18" x14ac:dyDescent="0.55000000000000004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</row>
    <row r="1839" spans="1:15" ht="18" x14ac:dyDescent="0.55000000000000004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</row>
    <row r="1840" spans="1:15" ht="18" x14ac:dyDescent="0.55000000000000004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</row>
    <row r="1841" spans="1:15" ht="18" x14ac:dyDescent="0.55000000000000004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</row>
    <row r="1842" spans="1:15" ht="18" x14ac:dyDescent="0.55000000000000004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</row>
    <row r="1843" spans="1:15" ht="18" x14ac:dyDescent="0.55000000000000004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</row>
    <row r="1844" spans="1:15" ht="18" x14ac:dyDescent="0.55000000000000004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</row>
    <row r="1845" spans="1:15" ht="18" x14ac:dyDescent="0.55000000000000004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</row>
    <row r="1846" spans="1:15" ht="18" x14ac:dyDescent="0.55000000000000004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</row>
    <row r="1847" spans="1:15" ht="18" x14ac:dyDescent="0.55000000000000004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</row>
    <row r="1848" spans="1:15" ht="18" x14ac:dyDescent="0.55000000000000004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</row>
    <row r="1849" spans="1:15" ht="18" x14ac:dyDescent="0.55000000000000004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</row>
    <row r="1850" spans="1:15" ht="18" x14ac:dyDescent="0.55000000000000004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</row>
    <row r="1851" spans="1:15" ht="18" x14ac:dyDescent="0.55000000000000004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</row>
    <row r="1852" spans="1:15" ht="18" x14ac:dyDescent="0.55000000000000004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</row>
    <row r="1853" spans="1:15" ht="18" x14ac:dyDescent="0.55000000000000004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</row>
    <row r="1854" spans="1:15" ht="18" x14ac:dyDescent="0.55000000000000004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</row>
    <row r="1855" spans="1:15" ht="18" x14ac:dyDescent="0.55000000000000004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</row>
    <row r="1856" spans="1:15" ht="18" x14ac:dyDescent="0.55000000000000004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</row>
    <row r="1857" spans="1:15" ht="18" x14ac:dyDescent="0.55000000000000004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</row>
    <row r="1858" spans="1:15" ht="18" x14ac:dyDescent="0.55000000000000004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</row>
    <row r="1859" spans="1:15" ht="18" x14ac:dyDescent="0.55000000000000004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</row>
    <row r="1860" spans="1:15" ht="18" x14ac:dyDescent="0.55000000000000004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</row>
    <row r="1861" spans="1:15" ht="18" x14ac:dyDescent="0.55000000000000004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</row>
    <row r="1862" spans="1:15" ht="18" x14ac:dyDescent="0.55000000000000004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</row>
    <row r="1863" spans="1:15" ht="18" x14ac:dyDescent="0.55000000000000004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</row>
    <row r="1864" spans="1:15" ht="18" x14ac:dyDescent="0.55000000000000004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</row>
    <row r="1865" spans="1:15" ht="18" x14ac:dyDescent="0.55000000000000004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</row>
    <row r="1866" spans="1:15" ht="18" x14ac:dyDescent="0.55000000000000004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</row>
    <row r="1867" spans="1:15" ht="18" x14ac:dyDescent="0.55000000000000004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</row>
    <row r="1868" spans="1:15" ht="18" x14ac:dyDescent="0.55000000000000004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</row>
    <row r="1869" spans="1:15" ht="18" x14ac:dyDescent="0.55000000000000004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</row>
    <row r="1870" spans="1:15" ht="18" x14ac:dyDescent="0.55000000000000004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</row>
    <row r="1871" spans="1:15" ht="18" x14ac:dyDescent="0.55000000000000004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</row>
    <row r="1872" spans="1:15" ht="18" x14ac:dyDescent="0.55000000000000004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</row>
    <row r="1873" spans="1:15" ht="18" x14ac:dyDescent="0.55000000000000004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</row>
    <row r="1874" spans="1:15" ht="18" x14ac:dyDescent="0.55000000000000004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</row>
    <row r="1875" spans="1:15" ht="18" x14ac:dyDescent="0.55000000000000004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</row>
    <row r="1876" spans="1:15" ht="18" x14ac:dyDescent="0.55000000000000004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</row>
    <row r="1877" spans="1:15" ht="18" x14ac:dyDescent="0.55000000000000004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</row>
    <row r="1878" spans="1:15" ht="18" x14ac:dyDescent="0.55000000000000004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</row>
    <row r="1879" spans="1:15" ht="18" x14ac:dyDescent="0.55000000000000004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</row>
    <row r="1880" spans="1:15" ht="18" x14ac:dyDescent="0.55000000000000004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</row>
    <row r="1881" spans="1:15" ht="18" x14ac:dyDescent="0.55000000000000004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</row>
    <row r="1882" spans="1:15" ht="18" x14ac:dyDescent="0.55000000000000004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</row>
    <row r="1883" spans="1:15" ht="18" x14ac:dyDescent="0.55000000000000004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</row>
    <row r="1884" spans="1:15" ht="18" x14ac:dyDescent="0.55000000000000004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</row>
    <row r="1885" spans="1:15" ht="18" x14ac:dyDescent="0.55000000000000004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</row>
    <row r="1886" spans="1:15" ht="18" x14ac:dyDescent="0.55000000000000004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</row>
    <row r="1887" spans="1:15" ht="18" x14ac:dyDescent="0.55000000000000004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</row>
    <row r="1888" spans="1:15" ht="18" x14ac:dyDescent="0.55000000000000004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</row>
    <row r="1889" spans="1:15" ht="18" x14ac:dyDescent="0.55000000000000004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</row>
    <row r="1890" spans="1:15" ht="18" x14ac:dyDescent="0.55000000000000004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</row>
    <row r="1891" spans="1:15" ht="18" x14ac:dyDescent="0.55000000000000004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</row>
    <row r="1892" spans="1:15" ht="18" x14ac:dyDescent="0.55000000000000004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</row>
    <row r="1893" spans="1:15" ht="18" x14ac:dyDescent="0.55000000000000004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</row>
    <row r="1894" spans="1:15" ht="18" x14ac:dyDescent="0.55000000000000004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</row>
    <row r="1895" spans="1:15" ht="18" x14ac:dyDescent="0.55000000000000004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</row>
    <row r="1896" spans="1:15" ht="18" x14ac:dyDescent="0.55000000000000004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</row>
    <row r="1897" spans="1:15" ht="18" x14ac:dyDescent="0.55000000000000004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</row>
    <row r="1898" spans="1:15" ht="18" x14ac:dyDescent="0.55000000000000004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</row>
    <row r="1899" spans="1:15" ht="18" x14ac:dyDescent="0.55000000000000004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</row>
    <row r="1900" spans="1:15" ht="18" x14ac:dyDescent="0.55000000000000004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</row>
    <row r="1901" spans="1:15" ht="18" x14ac:dyDescent="0.55000000000000004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</row>
    <row r="1902" spans="1:15" ht="18" x14ac:dyDescent="0.55000000000000004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</row>
    <row r="1903" spans="1:15" ht="18" x14ac:dyDescent="0.55000000000000004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</row>
    <row r="1904" spans="1:15" ht="18" x14ac:dyDescent="0.55000000000000004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</row>
    <row r="1905" spans="1:15" ht="18" x14ac:dyDescent="0.55000000000000004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</row>
    <row r="1906" spans="1:15" ht="18" x14ac:dyDescent="0.55000000000000004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</row>
    <row r="1907" spans="1:15" ht="18" x14ac:dyDescent="0.55000000000000004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</row>
    <row r="1908" spans="1:15" ht="18" x14ac:dyDescent="0.55000000000000004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</row>
    <row r="1909" spans="1:15" ht="18" x14ac:dyDescent="0.55000000000000004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</row>
    <row r="1910" spans="1:15" ht="18" x14ac:dyDescent="0.55000000000000004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</row>
    <row r="1911" spans="1:15" ht="18" x14ac:dyDescent="0.55000000000000004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</row>
    <row r="1912" spans="1:15" ht="18" x14ac:dyDescent="0.55000000000000004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</row>
    <row r="1913" spans="1:15" ht="18" x14ac:dyDescent="0.55000000000000004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</row>
    <row r="1914" spans="1:15" ht="18" x14ac:dyDescent="0.55000000000000004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</row>
    <row r="1915" spans="1:15" ht="18" x14ac:dyDescent="0.55000000000000004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</row>
    <row r="1916" spans="1:15" ht="18" x14ac:dyDescent="0.55000000000000004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</row>
    <row r="1917" spans="1:15" ht="18" x14ac:dyDescent="0.55000000000000004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</row>
    <row r="1918" spans="1:15" ht="18" x14ac:dyDescent="0.55000000000000004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</row>
    <row r="1919" spans="1:15" ht="18" x14ac:dyDescent="0.55000000000000004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</row>
    <row r="1920" spans="1:15" ht="18" x14ac:dyDescent="0.55000000000000004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</row>
    <row r="1921" spans="1:15" ht="18" x14ac:dyDescent="0.55000000000000004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</row>
    <row r="1922" spans="1:15" ht="18" x14ac:dyDescent="0.55000000000000004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</row>
    <row r="1923" spans="1:15" ht="18" x14ac:dyDescent="0.55000000000000004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</row>
    <row r="1924" spans="1:15" ht="18" x14ac:dyDescent="0.55000000000000004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</row>
    <row r="1925" spans="1:15" ht="18" x14ac:dyDescent="0.55000000000000004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</row>
    <row r="1926" spans="1:15" ht="18" x14ac:dyDescent="0.55000000000000004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</row>
    <row r="1927" spans="1:15" ht="18" x14ac:dyDescent="0.55000000000000004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</row>
    <row r="1928" spans="1:15" ht="18" x14ac:dyDescent="0.55000000000000004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</row>
    <row r="1929" spans="1:15" ht="18" x14ac:dyDescent="0.55000000000000004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</row>
    <row r="1930" spans="1:15" ht="18" x14ac:dyDescent="0.55000000000000004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</row>
    <row r="1931" spans="1:15" ht="18" x14ac:dyDescent="0.55000000000000004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</row>
    <row r="1932" spans="1:15" ht="18" x14ac:dyDescent="0.55000000000000004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</row>
    <row r="1933" spans="1:15" ht="18" x14ac:dyDescent="0.55000000000000004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</row>
    <row r="1934" spans="1:15" ht="18" x14ac:dyDescent="0.55000000000000004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</row>
    <row r="1935" spans="1:15" ht="18" x14ac:dyDescent="0.55000000000000004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</row>
    <row r="1936" spans="1:15" ht="18" x14ac:dyDescent="0.55000000000000004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</row>
    <row r="1937" spans="1:15" ht="18" x14ac:dyDescent="0.55000000000000004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</row>
    <row r="1938" spans="1:15" ht="18" x14ac:dyDescent="0.55000000000000004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</row>
    <row r="1939" spans="1:15" ht="18" x14ac:dyDescent="0.55000000000000004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</row>
    <row r="1940" spans="1:15" ht="18" x14ac:dyDescent="0.55000000000000004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</row>
    <row r="1941" spans="1:15" ht="18" x14ac:dyDescent="0.55000000000000004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</row>
    <row r="1942" spans="1:15" ht="18" x14ac:dyDescent="0.55000000000000004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</row>
    <row r="1943" spans="1:15" ht="18" x14ac:dyDescent="0.55000000000000004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</row>
    <row r="1944" spans="1:15" ht="18" x14ac:dyDescent="0.55000000000000004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</row>
    <row r="1945" spans="1:15" ht="18" x14ac:dyDescent="0.55000000000000004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</row>
    <row r="1946" spans="1:15" ht="18" x14ac:dyDescent="0.55000000000000004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</row>
    <row r="1947" spans="1:15" ht="18" x14ac:dyDescent="0.55000000000000004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</row>
    <row r="1948" spans="1:15" ht="18" x14ac:dyDescent="0.55000000000000004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</row>
    <row r="1949" spans="1:15" ht="18" x14ac:dyDescent="0.55000000000000004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</row>
    <row r="1950" spans="1:15" ht="18" x14ac:dyDescent="0.55000000000000004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</row>
    <row r="1951" spans="1:15" ht="18" x14ac:dyDescent="0.55000000000000004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</row>
    <row r="1952" spans="1:15" ht="18" x14ac:dyDescent="0.55000000000000004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</row>
    <row r="1953" spans="1:15" ht="18" x14ac:dyDescent="0.55000000000000004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</row>
    <row r="1954" spans="1:15" ht="18" x14ac:dyDescent="0.55000000000000004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</row>
    <row r="1955" spans="1:15" ht="18" x14ac:dyDescent="0.55000000000000004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</row>
    <row r="1956" spans="1:15" ht="18" x14ac:dyDescent="0.55000000000000004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</row>
    <row r="1957" spans="1:15" ht="18" x14ac:dyDescent="0.55000000000000004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</row>
    <row r="1958" spans="1:15" ht="18" x14ac:dyDescent="0.55000000000000004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</row>
    <row r="1959" spans="1:15" ht="18" x14ac:dyDescent="0.55000000000000004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</row>
    <row r="1960" spans="1:15" ht="18" x14ac:dyDescent="0.55000000000000004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</row>
    <row r="1961" spans="1:15" ht="18" x14ac:dyDescent="0.55000000000000004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</row>
    <row r="1962" spans="1:15" ht="18" x14ac:dyDescent="0.55000000000000004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</row>
    <row r="1963" spans="1:15" ht="18" x14ac:dyDescent="0.55000000000000004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</row>
    <row r="1964" spans="1:15" ht="18" x14ac:dyDescent="0.55000000000000004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</row>
    <row r="1965" spans="1:15" ht="18" x14ac:dyDescent="0.55000000000000004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</row>
    <row r="1966" spans="1:15" ht="18" x14ac:dyDescent="0.55000000000000004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</row>
    <row r="1967" spans="1:15" ht="18" x14ac:dyDescent="0.55000000000000004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</row>
    <row r="1968" spans="1:15" ht="18" x14ac:dyDescent="0.55000000000000004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</row>
    <row r="1969" spans="1:15" ht="18" x14ac:dyDescent="0.55000000000000004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</row>
    <row r="1970" spans="1:15" ht="18" x14ac:dyDescent="0.55000000000000004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</row>
    <row r="1971" spans="1:15" ht="18" x14ac:dyDescent="0.55000000000000004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</row>
    <row r="1972" spans="1:15" ht="18" x14ac:dyDescent="0.55000000000000004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</row>
    <row r="1973" spans="1:15" ht="18" x14ac:dyDescent="0.55000000000000004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</row>
    <row r="1974" spans="1:15" ht="18" x14ac:dyDescent="0.55000000000000004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</row>
    <row r="1975" spans="1:15" ht="18" x14ac:dyDescent="0.55000000000000004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</row>
    <row r="1976" spans="1:15" ht="18" x14ac:dyDescent="0.55000000000000004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</row>
    <row r="1977" spans="1:15" ht="18" x14ac:dyDescent="0.55000000000000004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</row>
    <row r="1978" spans="1:15" ht="18" x14ac:dyDescent="0.55000000000000004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</row>
    <row r="1979" spans="1:15" ht="18" x14ac:dyDescent="0.55000000000000004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</row>
    <row r="1980" spans="1:15" ht="18" x14ac:dyDescent="0.55000000000000004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</row>
    <row r="1981" spans="1:15" ht="18" x14ac:dyDescent="0.55000000000000004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</row>
    <row r="1982" spans="1:15" ht="18" x14ac:dyDescent="0.55000000000000004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</row>
    <row r="1983" spans="1:15" ht="18" x14ac:dyDescent="0.55000000000000004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</row>
    <row r="1984" spans="1:15" ht="18" x14ac:dyDescent="0.55000000000000004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</row>
    <row r="1985" spans="1:15" ht="18" x14ac:dyDescent="0.55000000000000004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</row>
    <row r="1986" spans="1:15" ht="18" x14ac:dyDescent="0.55000000000000004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</row>
    <row r="1987" spans="1:15" ht="18" x14ac:dyDescent="0.55000000000000004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</row>
    <row r="1988" spans="1:15" ht="18" x14ac:dyDescent="0.55000000000000004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</row>
    <row r="1989" spans="1:15" ht="18" x14ac:dyDescent="0.55000000000000004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</row>
    <row r="1990" spans="1:15" ht="18" x14ac:dyDescent="0.55000000000000004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</row>
    <row r="1991" spans="1:15" ht="18" x14ac:dyDescent="0.55000000000000004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</row>
    <row r="1992" spans="1:15" ht="18" x14ac:dyDescent="0.55000000000000004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</row>
    <row r="1993" spans="1:15" ht="18" x14ac:dyDescent="0.55000000000000004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</row>
    <row r="1994" spans="1:15" ht="18" x14ac:dyDescent="0.55000000000000004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</row>
    <row r="1995" spans="1:15" ht="18" x14ac:dyDescent="0.55000000000000004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</row>
    <row r="1996" spans="1:15" ht="18" x14ac:dyDescent="0.55000000000000004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</row>
    <row r="1997" spans="1:15" ht="18" x14ac:dyDescent="0.55000000000000004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</row>
    <row r="1998" spans="1:15" ht="18" x14ac:dyDescent="0.55000000000000004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</row>
    <row r="1999" spans="1:15" ht="18" x14ac:dyDescent="0.55000000000000004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</row>
    <row r="2000" spans="1:15" ht="18" x14ac:dyDescent="0.55000000000000004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</row>
    <row r="2001" spans="1:15" ht="18" x14ac:dyDescent="0.55000000000000004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</row>
    <row r="2002" spans="1:15" ht="18" x14ac:dyDescent="0.55000000000000004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</row>
    <row r="2003" spans="1:15" ht="18" x14ac:dyDescent="0.55000000000000004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</row>
    <row r="2004" spans="1:15" ht="18" x14ac:dyDescent="0.55000000000000004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</row>
    <row r="2005" spans="1:15" ht="18" x14ac:dyDescent="0.55000000000000004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</row>
    <row r="2006" spans="1:15" ht="18" x14ac:dyDescent="0.55000000000000004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</row>
    <row r="2007" spans="1:15" ht="18" x14ac:dyDescent="0.55000000000000004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</row>
    <row r="2008" spans="1:15" ht="18" x14ac:dyDescent="0.55000000000000004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</row>
    <row r="2009" spans="1:15" ht="18" x14ac:dyDescent="0.55000000000000004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</row>
    <row r="2010" spans="1:15" ht="18" x14ac:dyDescent="0.55000000000000004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</row>
    <row r="2011" spans="1:15" ht="18" x14ac:dyDescent="0.55000000000000004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</row>
    <row r="2012" spans="1:15" ht="18" x14ac:dyDescent="0.55000000000000004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</row>
    <row r="2013" spans="1:15" ht="18" x14ac:dyDescent="0.55000000000000004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</row>
    <row r="2014" spans="1:15" ht="18" x14ac:dyDescent="0.55000000000000004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</row>
    <row r="2015" spans="1:15" ht="18" x14ac:dyDescent="0.55000000000000004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</row>
    <row r="2016" spans="1:15" ht="18" x14ac:dyDescent="0.55000000000000004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</row>
    <row r="2017" spans="1:15" ht="18" x14ac:dyDescent="0.55000000000000004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</row>
    <row r="2018" spans="1:15" ht="18" x14ac:dyDescent="0.55000000000000004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</row>
    <row r="2019" spans="1:15" ht="18" x14ac:dyDescent="0.55000000000000004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</row>
  </sheetData>
  <phoneticPr fontId="1"/>
  <conditionalFormatting sqref="B2:B27 D2:D27 J2:K27">
    <cfRule type="expression" dxfId="11" priority="1" stopIfTrue="1">
      <formula>AND($A2&lt;&gt;"",B2="")</formula>
    </cfRule>
  </conditionalFormatting>
  <conditionalFormatting sqref="E22">
    <cfRule type="containsBlanks" dxfId="10" priority="2" stopIfTrue="1">
      <formula>LEN(TRIM(E22))=0</formula>
    </cfRule>
  </conditionalFormatting>
  <conditionalFormatting sqref="F2:G2 F12:G12 G14 F15:G15 G16 F17:G17 G18 F26:G26">
    <cfRule type="containsBlanks" dxfId="9" priority="3" stopIfTrue="1">
      <formula>LEN(TRIM(F2))=0</formula>
    </cfRule>
  </conditionalFormatting>
  <conditionalFormatting sqref="B28:B57 D28:D57 J28:K57">
    <cfRule type="expression" dxfId="0" priority="4" stopIfTrue="1">
      <formula>AND($A28&lt;&gt;"",B28="")</formula>
    </cfRule>
  </conditionalFormatting>
  <dataValidations count="12">
    <dataValidation imeMode="on" allowBlank="1" showInputMessage="1" showErrorMessage="1" sqref="K2020:K1048576 A1 K1 A2020:A1048576" xr:uid="{82371562-DA48-418A-B9E1-F875CA10CC30}"/>
    <dataValidation imeMode="off" allowBlank="1" showInputMessage="1" showErrorMessage="1" sqref="E1:J1 E2020:J1048576 B1 B2020:B1048576" xr:uid="{A44170C6-B920-46F2-AEA3-D4E9954343F7}"/>
    <dataValidation type="list" allowBlank="1" showInputMessage="1" showErrorMessage="1" sqref="D2:D27 D28:D57" xr:uid="{6091F766-549A-4FBC-838C-8FA76185EF42}">
      <formula1>ドメインタイプKEY</formula1>
    </dataValidation>
    <dataValidation imeMode="on" allowBlank="1" showInputMessage="1" showErrorMessage="1" sqref="K2:K27 A2:A27" xr:uid="{5963F54E-E3AD-4DCA-BC26-DA373FF8246C}"/>
    <dataValidation imeMode="off" allowBlank="1" showInputMessage="1" showErrorMessage="1" sqref="B2:B27" xr:uid="{BFF4C9CA-E1A4-4CE6-9506-97677878CCE7}"/>
    <dataValidation imeMode="off" allowBlank="1" showInputMessage="1" showErrorMessage="1" sqref="E22" xr:uid="{461417DD-B464-4E0F-8F6F-56FFD9C6211A}"/>
    <dataValidation imeMode="off" allowBlank="1" showInputMessage="1" showErrorMessage="1" sqref="E7 E14 E16 E18" xr:uid="{A7568F62-1439-490D-AED7-CB06AE90518A}"/>
    <dataValidation type="whole" imeMode="off" allowBlank="1" showInputMessage="1" showErrorMessage="1" error="0-1000の間で入力可能" sqref="F2:G2 F12:G12 G14 F15:G15 G16 F17:G17 G18 F26:G26" xr:uid="{155DDDA9-C2E9-4D4F-8EE2-23FF0E8DB054}">
      <formula1>0</formula1>
      <formula2>1000</formula2>
    </dataValidation>
    <dataValidation type="whole" imeMode="off" allowBlank="1" showInputMessage="1" showErrorMessage="1" error="0-1000の間で入力可能" sqref="F6:F7 F9 F14 F16 F18 F24" xr:uid="{8EE3648E-E678-45B1-84BC-9C5DEEA0A493}">
      <formula1>0</formula1>
      <formula2>1000</formula2>
    </dataValidation>
    <dataValidation type="textLength" imeMode="off" operator="equal" allowBlank="1" showInputMessage="1" showErrorMessage="1" error="入力不可項目です" sqref="H2:I2 F3:G5 E2:E6 H5:I6 G7:I7 E8:I8 H9:I9 F10:I10 F11:G11 H12:I12 E9:E13 F13:I13 E15 E17 H14:I18 E19:I19 E20:G21 H21:I21 F22:I22 E23:I23 H24:I24 F25:I25 H26:I26 E24:E27 F27:I27" xr:uid="{6E5276FC-50CC-4F0F-9FA0-C4A37CEB5C06}">
      <formula1>0</formula1>
    </dataValidation>
    <dataValidation imeMode="on" allowBlank="1" showInputMessage="1" showErrorMessage="1" sqref="A28:A57 K28:K57" xr:uid="{24EEBFDC-9C22-456B-89DC-10844593DED1}"/>
    <dataValidation imeMode="off" allowBlank="1" showInputMessage="1" showErrorMessage="1" sqref="B28:B57" xr:uid="{5F747195-74B9-432C-A78C-38DC4840840A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553"/>
  <sheetViews>
    <sheetView showGridLines="0" workbookViewId="0">
      <pane ySplit="1" topLeftCell="A2" activePane="bottomLeft" state="frozen"/>
      <selection activeCell="E5" sqref="E5"/>
      <selection pane="bottomLeft" activeCell="C5" sqref="C5"/>
    </sheetView>
  </sheetViews>
  <sheetFormatPr defaultRowHeight="15" x14ac:dyDescent="0.55000000000000004"/>
  <cols>
    <col min="1" max="1" width="8.6640625" style="30"/>
    <col min="2" max="2" width="18.9140625" style="30" customWidth="1"/>
    <col min="3" max="3" width="11.08203125" style="30" bestFit="1" customWidth="1"/>
    <col min="4" max="4" width="13.75" style="30" customWidth="1"/>
    <col min="5" max="5" width="19" style="30" customWidth="1"/>
    <col min="6" max="16384" width="8.6640625" style="30"/>
  </cols>
  <sheetData>
    <row r="1" spans="1:5" s="23" customFormat="1" ht="26" x14ac:dyDescent="0.55000000000000004">
      <c r="A1" s="18" t="s">
        <v>78</v>
      </c>
      <c r="B1" s="28" t="s">
        <v>77</v>
      </c>
      <c r="C1" s="19" t="s">
        <v>70</v>
      </c>
      <c r="D1" s="19" t="s">
        <v>71</v>
      </c>
      <c r="E1" s="22" t="s">
        <v>6</v>
      </c>
    </row>
    <row r="2" spans="1:5" x14ac:dyDescent="0.55000000000000004">
      <c r="A2" s="38" t="s">
        <v>84</v>
      </c>
      <c r="B2" s="38" t="s">
        <v>96</v>
      </c>
      <c r="C2" s="38" t="s">
        <v>112</v>
      </c>
      <c r="D2" s="26" t="str">
        <f t="shared" ref="D2:D35" si="0">camel2snake(C2)</f>
        <v>campane_price</v>
      </c>
      <c r="E2" s="38" t="s">
        <v>97</v>
      </c>
    </row>
    <row r="3" spans="1:5" x14ac:dyDescent="0.55000000000000004">
      <c r="A3" s="38" t="s">
        <v>136</v>
      </c>
      <c r="B3" s="38" t="s">
        <v>148</v>
      </c>
      <c r="C3" s="38" t="s">
        <v>149</v>
      </c>
      <c r="D3" s="26" t="str">
        <f t="shared" si="0"/>
        <v>order_pic</v>
      </c>
      <c r="E3" s="38" t="s">
        <v>151</v>
      </c>
    </row>
    <row r="4" spans="1:5" x14ac:dyDescent="0.55000000000000004">
      <c r="A4" s="38" t="s">
        <v>136</v>
      </c>
      <c r="B4" s="38" t="s">
        <v>150</v>
      </c>
      <c r="C4" s="38" t="s">
        <v>195</v>
      </c>
      <c r="D4" s="26" t="str">
        <f t="shared" si="0"/>
        <v>product_pic</v>
      </c>
      <c r="E4" s="38" t="s">
        <v>152</v>
      </c>
    </row>
    <row r="5" spans="1:5" x14ac:dyDescent="0.55000000000000004">
      <c r="A5" s="43" t="s">
        <v>129</v>
      </c>
      <c r="B5" s="43" t="s">
        <v>196</v>
      </c>
      <c r="C5" s="43" t="s">
        <v>197</v>
      </c>
      <c r="D5" s="44" t="str">
        <f t="shared" si="0"/>
        <v>salese_department</v>
      </c>
      <c r="E5" s="43" t="s">
        <v>196</v>
      </c>
    </row>
    <row r="6" spans="1:5" x14ac:dyDescent="0.55000000000000004">
      <c r="A6" s="38"/>
      <c r="B6" s="38"/>
      <c r="C6" s="38"/>
      <c r="D6" s="26" t="str">
        <f t="shared" ref="D6:D35" si="1">camel2snake(C6)</f>
        <v/>
      </c>
      <c r="E6" s="38"/>
    </row>
    <row r="7" spans="1:5" x14ac:dyDescent="0.55000000000000004">
      <c r="A7" s="38"/>
      <c r="B7" s="38"/>
      <c r="C7" s="38"/>
      <c r="D7" s="26" t="str">
        <f t="shared" si="1"/>
        <v/>
      </c>
      <c r="E7" s="38"/>
    </row>
    <row r="8" spans="1:5" x14ac:dyDescent="0.55000000000000004">
      <c r="A8" s="38"/>
      <c r="B8" s="38"/>
      <c r="C8" s="38"/>
      <c r="D8" s="26" t="str">
        <f t="shared" si="1"/>
        <v/>
      </c>
      <c r="E8" s="38"/>
    </row>
    <row r="9" spans="1:5" x14ac:dyDescent="0.55000000000000004">
      <c r="A9" s="38"/>
      <c r="B9" s="38"/>
      <c r="C9" s="38"/>
      <c r="D9" s="26" t="str">
        <f t="shared" si="1"/>
        <v/>
      </c>
      <c r="E9" s="38"/>
    </row>
    <row r="10" spans="1:5" x14ac:dyDescent="0.55000000000000004">
      <c r="A10" s="38"/>
      <c r="B10" s="38"/>
      <c r="C10" s="38"/>
      <c r="D10" s="26" t="str">
        <f t="shared" si="1"/>
        <v/>
      </c>
      <c r="E10" s="38"/>
    </row>
    <row r="11" spans="1:5" x14ac:dyDescent="0.55000000000000004">
      <c r="A11" s="38"/>
      <c r="B11" s="38"/>
      <c r="C11" s="38"/>
      <c r="D11" s="26" t="str">
        <f t="shared" si="1"/>
        <v/>
      </c>
      <c r="E11" s="38"/>
    </row>
    <row r="12" spans="1:5" x14ac:dyDescent="0.55000000000000004">
      <c r="A12" s="38"/>
      <c r="B12" s="38"/>
      <c r="C12" s="38"/>
      <c r="D12" s="26" t="str">
        <f t="shared" si="1"/>
        <v/>
      </c>
      <c r="E12" s="38"/>
    </row>
    <row r="13" spans="1:5" x14ac:dyDescent="0.55000000000000004">
      <c r="A13" s="38"/>
      <c r="B13" s="38"/>
      <c r="C13" s="38"/>
      <c r="D13" s="26" t="str">
        <f t="shared" si="1"/>
        <v/>
      </c>
      <c r="E13" s="38"/>
    </row>
    <row r="14" spans="1:5" x14ac:dyDescent="0.55000000000000004">
      <c r="A14" s="38"/>
      <c r="B14" s="38"/>
      <c r="C14" s="38"/>
      <c r="D14" s="26" t="str">
        <f t="shared" si="1"/>
        <v/>
      </c>
      <c r="E14" s="38"/>
    </row>
    <row r="15" spans="1:5" x14ac:dyDescent="0.55000000000000004">
      <c r="A15" s="38"/>
      <c r="B15" s="38"/>
      <c r="C15" s="38"/>
      <c r="D15" s="26" t="str">
        <f t="shared" si="1"/>
        <v/>
      </c>
      <c r="E15" s="38"/>
    </row>
    <row r="16" spans="1:5" x14ac:dyDescent="0.55000000000000004">
      <c r="A16" s="38"/>
      <c r="B16" s="38"/>
      <c r="C16" s="38"/>
      <c r="D16" s="26" t="str">
        <f t="shared" si="1"/>
        <v/>
      </c>
      <c r="E16" s="38"/>
    </row>
    <row r="17" spans="1:5" x14ac:dyDescent="0.55000000000000004">
      <c r="A17" s="38"/>
      <c r="B17" s="38"/>
      <c r="C17" s="38"/>
      <c r="D17" s="26" t="str">
        <f t="shared" si="1"/>
        <v/>
      </c>
      <c r="E17" s="38"/>
    </row>
    <row r="18" spans="1:5" x14ac:dyDescent="0.55000000000000004">
      <c r="A18" s="38"/>
      <c r="B18" s="38"/>
      <c r="C18" s="38"/>
      <c r="D18" s="26" t="str">
        <f t="shared" si="1"/>
        <v/>
      </c>
      <c r="E18" s="38"/>
    </row>
    <row r="19" spans="1:5" x14ac:dyDescent="0.55000000000000004">
      <c r="A19" s="38"/>
      <c r="B19" s="38"/>
      <c r="C19" s="38"/>
      <c r="D19" s="26" t="str">
        <f t="shared" si="1"/>
        <v/>
      </c>
      <c r="E19" s="38"/>
    </row>
    <row r="20" spans="1:5" x14ac:dyDescent="0.55000000000000004">
      <c r="A20" s="38"/>
      <c r="B20" s="38"/>
      <c r="C20" s="38"/>
      <c r="D20" s="26" t="str">
        <f t="shared" si="1"/>
        <v/>
      </c>
      <c r="E20" s="38"/>
    </row>
    <row r="21" spans="1:5" x14ac:dyDescent="0.55000000000000004">
      <c r="A21" s="38"/>
      <c r="B21" s="38"/>
      <c r="C21" s="38"/>
      <c r="D21" s="26" t="str">
        <f t="shared" si="1"/>
        <v/>
      </c>
      <c r="E21" s="38"/>
    </row>
    <row r="22" spans="1:5" x14ac:dyDescent="0.55000000000000004">
      <c r="A22" s="38"/>
      <c r="B22" s="38"/>
      <c r="C22" s="38"/>
      <c r="D22" s="26" t="str">
        <f t="shared" si="1"/>
        <v/>
      </c>
      <c r="E22" s="38"/>
    </row>
    <row r="23" spans="1:5" x14ac:dyDescent="0.55000000000000004">
      <c r="A23" s="38"/>
      <c r="B23" s="38"/>
      <c r="C23" s="38"/>
      <c r="D23" s="26" t="str">
        <f t="shared" si="1"/>
        <v/>
      </c>
      <c r="E23" s="38"/>
    </row>
    <row r="24" spans="1:5" x14ac:dyDescent="0.55000000000000004">
      <c r="A24" s="38"/>
      <c r="B24" s="38"/>
      <c r="C24" s="38"/>
      <c r="D24" s="26" t="str">
        <f t="shared" si="1"/>
        <v/>
      </c>
      <c r="E24" s="38"/>
    </row>
    <row r="25" spans="1:5" x14ac:dyDescent="0.55000000000000004">
      <c r="A25" s="38"/>
      <c r="B25" s="38"/>
      <c r="C25" s="38"/>
      <c r="D25" s="26" t="str">
        <f t="shared" si="1"/>
        <v/>
      </c>
      <c r="E25" s="38"/>
    </row>
    <row r="26" spans="1:5" x14ac:dyDescent="0.55000000000000004">
      <c r="A26" s="38"/>
      <c r="B26" s="38"/>
      <c r="C26" s="38"/>
      <c r="D26" s="26" t="str">
        <f t="shared" si="1"/>
        <v/>
      </c>
      <c r="E26" s="38"/>
    </row>
    <row r="27" spans="1:5" x14ac:dyDescent="0.55000000000000004">
      <c r="A27" s="38"/>
      <c r="B27" s="38"/>
      <c r="C27" s="38"/>
      <c r="D27" s="26" t="str">
        <f t="shared" si="1"/>
        <v/>
      </c>
      <c r="E27" s="38"/>
    </row>
    <row r="28" spans="1:5" x14ac:dyDescent="0.55000000000000004">
      <c r="A28" s="38"/>
      <c r="B28" s="38"/>
      <c r="C28" s="38"/>
      <c r="D28" s="26" t="str">
        <f t="shared" si="1"/>
        <v/>
      </c>
      <c r="E28" s="38"/>
    </row>
    <row r="29" spans="1:5" x14ac:dyDescent="0.55000000000000004">
      <c r="A29" s="38"/>
      <c r="B29" s="38"/>
      <c r="C29" s="38"/>
      <c r="D29" s="26" t="str">
        <f t="shared" si="1"/>
        <v/>
      </c>
      <c r="E29" s="38"/>
    </row>
    <row r="30" spans="1:5" x14ac:dyDescent="0.55000000000000004">
      <c r="A30" s="38"/>
      <c r="B30" s="38"/>
      <c r="C30" s="38"/>
      <c r="D30" s="26" t="str">
        <f t="shared" si="1"/>
        <v/>
      </c>
      <c r="E30" s="38"/>
    </row>
    <row r="31" spans="1:5" x14ac:dyDescent="0.55000000000000004">
      <c r="A31" s="38"/>
      <c r="B31" s="38"/>
      <c r="C31" s="38"/>
      <c r="D31" s="26" t="str">
        <f t="shared" si="1"/>
        <v/>
      </c>
      <c r="E31" s="38"/>
    </row>
    <row r="32" spans="1:5" x14ac:dyDescent="0.55000000000000004">
      <c r="A32" s="38"/>
      <c r="B32" s="38"/>
      <c r="C32" s="38"/>
      <c r="D32" s="26" t="str">
        <f t="shared" si="1"/>
        <v/>
      </c>
      <c r="E32" s="38"/>
    </row>
    <row r="33" spans="1:5" x14ac:dyDescent="0.55000000000000004">
      <c r="A33" s="38"/>
      <c r="B33" s="38"/>
      <c r="C33" s="38"/>
      <c r="D33" s="26" t="str">
        <f t="shared" si="1"/>
        <v/>
      </c>
      <c r="E33" s="38"/>
    </row>
    <row r="34" spans="1:5" x14ac:dyDescent="0.55000000000000004">
      <c r="A34" s="38"/>
      <c r="B34" s="38"/>
      <c r="C34" s="38"/>
      <c r="D34" s="26" t="str">
        <f t="shared" si="1"/>
        <v/>
      </c>
      <c r="E34" s="38"/>
    </row>
    <row r="35" spans="1:5" x14ac:dyDescent="0.55000000000000004">
      <c r="A35" s="39"/>
      <c r="B35" s="39"/>
      <c r="C35" s="39"/>
      <c r="D35" s="27" t="str">
        <f t="shared" si="1"/>
        <v/>
      </c>
      <c r="E35" s="39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  <row r="419" spans="1:5" ht="18" x14ac:dyDescent="0.55000000000000004">
      <c r="A419"/>
      <c r="B419"/>
      <c r="C419"/>
      <c r="D419"/>
      <c r="E419"/>
    </row>
    <row r="420" spans="1:5" ht="18" x14ac:dyDescent="0.55000000000000004">
      <c r="A420"/>
      <c r="B420"/>
      <c r="C420"/>
      <c r="D420"/>
      <c r="E420"/>
    </row>
    <row r="421" spans="1:5" ht="18" x14ac:dyDescent="0.55000000000000004">
      <c r="A421"/>
      <c r="B421"/>
      <c r="C421"/>
      <c r="D421"/>
      <c r="E421"/>
    </row>
    <row r="422" spans="1:5" ht="18" x14ac:dyDescent="0.55000000000000004">
      <c r="A422"/>
      <c r="B422"/>
      <c r="C422"/>
      <c r="D422"/>
      <c r="E422"/>
    </row>
    <row r="423" spans="1:5" ht="18" x14ac:dyDescent="0.55000000000000004">
      <c r="A423"/>
      <c r="B423"/>
      <c r="C423"/>
      <c r="D423"/>
      <c r="E423"/>
    </row>
    <row r="424" spans="1:5" ht="18" x14ac:dyDescent="0.55000000000000004">
      <c r="A424"/>
      <c r="B424"/>
      <c r="C424"/>
      <c r="D424"/>
      <c r="E424"/>
    </row>
    <row r="425" spans="1:5" ht="18" x14ac:dyDescent="0.55000000000000004">
      <c r="A425"/>
      <c r="B425"/>
      <c r="C425"/>
      <c r="D425"/>
      <c r="E425"/>
    </row>
    <row r="426" spans="1:5" ht="18" x14ac:dyDescent="0.55000000000000004">
      <c r="A426"/>
      <c r="B426"/>
      <c r="C426"/>
      <c r="D426"/>
      <c r="E426"/>
    </row>
    <row r="427" spans="1:5" ht="18" x14ac:dyDescent="0.55000000000000004">
      <c r="A427"/>
      <c r="B427"/>
      <c r="C427"/>
      <c r="D427"/>
      <c r="E427"/>
    </row>
    <row r="428" spans="1:5" ht="18" x14ac:dyDescent="0.55000000000000004">
      <c r="A428"/>
      <c r="B428"/>
      <c r="C428"/>
      <c r="D428"/>
      <c r="E428"/>
    </row>
    <row r="429" spans="1:5" ht="18" x14ac:dyDescent="0.55000000000000004">
      <c r="A429"/>
      <c r="B429"/>
      <c r="C429"/>
      <c r="D429"/>
      <c r="E429"/>
    </row>
    <row r="430" spans="1:5" ht="18" x14ac:dyDescent="0.55000000000000004">
      <c r="A430"/>
      <c r="B430"/>
      <c r="C430"/>
      <c r="D430"/>
      <c r="E430"/>
    </row>
    <row r="431" spans="1:5" ht="18" x14ac:dyDescent="0.55000000000000004">
      <c r="A431"/>
      <c r="B431"/>
      <c r="C431"/>
      <c r="D431"/>
      <c r="E431"/>
    </row>
    <row r="432" spans="1:5" ht="18" x14ac:dyDescent="0.55000000000000004">
      <c r="A432"/>
      <c r="B432"/>
      <c r="C432"/>
      <c r="D432"/>
      <c r="E432"/>
    </row>
    <row r="433" spans="1:5" ht="18" x14ac:dyDescent="0.55000000000000004">
      <c r="A433"/>
      <c r="B433"/>
      <c r="C433"/>
      <c r="D433"/>
      <c r="E433"/>
    </row>
    <row r="434" spans="1:5" ht="18" x14ac:dyDescent="0.55000000000000004">
      <c r="A434"/>
      <c r="B434"/>
      <c r="C434"/>
      <c r="D434"/>
      <c r="E434"/>
    </row>
    <row r="435" spans="1:5" ht="18" x14ac:dyDescent="0.55000000000000004">
      <c r="A435"/>
      <c r="B435"/>
      <c r="C435"/>
      <c r="D435"/>
      <c r="E435"/>
    </row>
    <row r="436" spans="1:5" ht="18" x14ac:dyDescent="0.55000000000000004">
      <c r="A436"/>
      <c r="B436"/>
      <c r="C436"/>
      <c r="D436"/>
      <c r="E436"/>
    </row>
    <row r="437" spans="1:5" ht="18" x14ac:dyDescent="0.55000000000000004">
      <c r="A437"/>
      <c r="B437"/>
      <c r="C437"/>
      <c r="D437"/>
      <c r="E437"/>
    </row>
    <row r="438" spans="1:5" ht="18" x14ac:dyDescent="0.55000000000000004">
      <c r="A438"/>
      <c r="B438"/>
      <c r="C438"/>
      <c r="D438"/>
      <c r="E438"/>
    </row>
    <row r="439" spans="1:5" ht="18" x14ac:dyDescent="0.55000000000000004">
      <c r="A439"/>
      <c r="B439"/>
      <c r="C439"/>
      <c r="D439"/>
      <c r="E439"/>
    </row>
    <row r="440" spans="1:5" ht="18" x14ac:dyDescent="0.55000000000000004">
      <c r="A440"/>
      <c r="B440"/>
      <c r="C440"/>
      <c r="D440"/>
      <c r="E440"/>
    </row>
    <row r="441" spans="1:5" ht="18" x14ac:dyDescent="0.55000000000000004">
      <c r="A441"/>
      <c r="B441"/>
      <c r="C441"/>
      <c r="D441"/>
      <c r="E441"/>
    </row>
    <row r="442" spans="1:5" ht="18" x14ac:dyDescent="0.55000000000000004">
      <c r="A442"/>
      <c r="B442"/>
      <c r="C442"/>
      <c r="D442"/>
      <c r="E442"/>
    </row>
    <row r="443" spans="1:5" ht="18" x14ac:dyDescent="0.55000000000000004">
      <c r="A443"/>
      <c r="B443"/>
      <c r="C443"/>
      <c r="D443"/>
      <c r="E443"/>
    </row>
    <row r="444" spans="1:5" ht="18" x14ac:dyDescent="0.55000000000000004">
      <c r="A444"/>
      <c r="B444"/>
      <c r="C444"/>
      <c r="D444"/>
      <c r="E444"/>
    </row>
    <row r="445" spans="1:5" ht="18" x14ac:dyDescent="0.55000000000000004">
      <c r="A445"/>
      <c r="B445"/>
      <c r="C445"/>
      <c r="D445"/>
      <c r="E445"/>
    </row>
    <row r="446" spans="1:5" ht="18" x14ac:dyDescent="0.55000000000000004">
      <c r="A446"/>
      <c r="B446"/>
      <c r="C446"/>
      <c r="D446"/>
      <c r="E446"/>
    </row>
    <row r="447" spans="1:5" ht="18" x14ac:dyDescent="0.55000000000000004">
      <c r="A447"/>
      <c r="B447"/>
      <c r="C447"/>
      <c r="D447"/>
      <c r="E447"/>
    </row>
    <row r="448" spans="1:5" ht="18" x14ac:dyDescent="0.55000000000000004">
      <c r="A448"/>
      <c r="B448"/>
      <c r="C448"/>
      <c r="D448"/>
      <c r="E448"/>
    </row>
    <row r="449" spans="1:5" ht="18" x14ac:dyDescent="0.55000000000000004">
      <c r="A449"/>
      <c r="B449"/>
      <c r="C449"/>
      <c r="D449"/>
      <c r="E449"/>
    </row>
    <row r="450" spans="1:5" ht="18" x14ac:dyDescent="0.55000000000000004">
      <c r="A450"/>
      <c r="B450"/>
      <c r="C450"/>
      <c r="D450"/>
      <c r="E450"/>
    </row>
    <row r="451" spans="1:5" ht="18" x14ac:dyDescent="0.55000000000000004">
      <c r="A451"/>
      <c r="B451"/>
      <c r="C451"/>
      <c r="D451"/>
      <c r="E451"/>
    </row>
    <row r="452" spans="1:5" ht="18" x14ac:dyDescent="0.55000000000000004">
      <c r="A452"/>
      <c r="B452"/>
      <c r="C452"/>
      <c r="D452"/>
      <c r="E452"/>
    </row>
    <row r="453" spans="1:5" ht="18" x14ac:dyDescent="0.55000000000000004">
      <c r="A453"/>
      <c r="B453"/>
      <c r="C453"/>
      <c r="D453"/>
      <c r="E453"/>
    </row>
    <row r="454" spans="1:5" ht="18" x14ac:dyDescent="0.55000000000000004">
      <c r="A454"/>
      <c r="B454"/>
      <c r="C454"/>
      <c r="D454"/>
      <c r="E454"/>
    </row>
    <row r="455" spans="1:5" ht="18" x14ac:dyDescent="0.55000000000000004">
      <c r="A455"/>
      <c r="B455"/>
      <c r="C455"/>
      <c r="D455"/>
      <c r="E455"/>
    </row>
    <row r="456" spans="1:5" ht="18" x14ac:dyDescent="0.55000000000000004">
      <c r="A456"/>
      <c r="B456"/>
      <c r="C456"/>
      <c r="D456"/>
      <c r="E456"/>
    </row>
    <row r="457" spans="1:5" ht="18" x14ac:dyDescent="0.55000000000000004">
      <c r="A457"/>
      <c r="B457"/>
      <c r="C457"/>
      <c r="D457"/>
      <c r="E457"/>
    </row>
    <row r="458" spans="1:5" ht="18" x14ac:dyDescent="0.55000000000000004">
      <c r="A458"/>
      <c r="B458"/>
      <c r="C458"/>
      <c r="D458"/>
      <c r="E458"/>
    </row>
    <row r="459" spans="1:5" ht="18" x14ac:dyDescent="0.55000000000000004">
      <c r="A459"/>
      <c r="B459"/>
      <c r="C459"/>
      <c r="D459"/>
      <c r="E459"/>
    </row>
    <row r="460" spans="1:5" ht="18" x14ac:dyDescent="0.55000000000000004">
      <c r="A460"/>
      <c r="B460"/>
      <c r="C460"/>
      <c r="D460"/>
      <c r="E460"/>
    </row>
    <row r="461" spans="1:5" ht="18" x14ac:dyDescent="0.55000000000000004">
      <c r="A461"/>
      <c r="B461"/>
      <c r="C461"/>
      <c r="D461"/>
      <c r="E461"/>
    </row>
    <row r="462" spans="1:5" ht="18" x14ac:dyDescent="0.55000000000000004">
      <c r="A462"/>
      <c r="B462"/>
      <c r="C462"/>
      <c r="D462"/>
      <c r="E462"/>
    </row>
    <row r="463" spans="1:5" ht="18" x14ac:dyDescent="0.55000000000000004">
      <c r="A463"/>
      <c r="B463"/>
      <c r="C463"/>
      <c r="D463"/>
      <c r="E463"/>
    </row>
    <row r="464" spans="1:5" ht="18" x14ac:dyDescent="0.55000000000000004">
      <c r="A464"/>
      <c r="B464"/>
      <c r="C464"/>
      <c r="D464"/>
      <c r="E464"/>
    </row>
    <row r="465" spans="1:5" ht="18" x14ac:dyDescent="0.55000000000000004">
      <c r="A465"/>
      <c r="B465"/>
      <c r="C465"/>
      <c r="D465"/>
      <c r="E465"/>
    </row>
    <row r="466" spans="1:5" ht="18" x14ac:dyDescent="0.55000000000000004">
      <c r="A466"/>
      <c r="B466"/>
      <c r="C466"/>
      <c r="D466"/>
      <c r="E466"/>
    </row>
    <row r="467" spans="1:5" ht="18" x14ac:dyDescent="0.55000000000000004">
      <c r="A467"/>
      <c r="B467"/>
      <c r="C467"/>
      <c r="D467"/>
      <c r="E467"/>
    </row>
    <row r="468" spans="1:5" ht="18" x14ac:dyDescent="0.55000000000000004">
      <c r="A468"/>
      <c r="B468"/>
      <c r="C468"/>
      <c r="D468"/>
      <c r="E468"/>
    </row>
    <row r="469" spans="1:5" ht="18" x14ac:dyDescent="0.55000000000000004">
      <c r="A469"/>
      <c r="B469"/>
      <c r="C469"/>
      <c r="D469"/>
      <c r="E469"/>
    </row>
    <row r="470" spans="1:5" ht="18" x14ac:dyDescent="0.55000000000000004">
      <c r="A470"/>
      <c r="B470"/>
      <c r="C470"/>
      <c r="D470"/>
      <c r="E470"/>
    </row>
    <row r="471" spans="1:5" ht="18" x14ac:dyDescent="0.55000000000000004">
      <c r="A471"/>
      <c r="B471"/>
      <c r="C471"/>
      <c r="D471"/>
      <c r="E471"/>
    </row>
    <row r="472" spans="1:5" ht="18" x14ac:dyDescent="0.55000000000000004">
      <c r="A472"/>
      <c r="B472"/>
      <c r="C472"/>
      <c r="D472"/>
      <c r="E472"/>
    </row>
    <row r="473" spans="1:5" ht="18" x14ac:dyDescent="0.55000000000000004">
      <c r="A473"/>
      <c r="B473"/>
      <c r="C473"/>
      <c r="D473"/>
      <c r="E473"/>
    </row>
    <row r="474" spans="1:5" ht="18" x14ac:dyDescent="0.55000000000000004">
      <c r="A474"/>
      <c r="B474"/>
      <c r="C474"/>
      <c r="D474"/>
      <c r="E474"/>
    </row>
    <row r="475" spans="1:5" ht="18" x14ac:dyDescent="0.55000000000000004">
      <c r="A475"/>
      <c r="B475"/>
      <c r="C475"/>
      <c r="D475"/>
      <c r="E475"/>
    </row>
    <row r="476" spans="1:5" ht="18" x14ac:dyDescent="0.55000000000000004">
      <c r="A476"/>
      <c r="B476"/>
      <c r="C476"/>
      <c r="D476"/>
      <c r="E476"/>
    </row>
    <row r="477" spans="1:5" ht="18" x14ac:dyDescent="0.55000000000000004">
      <c r="A477"/>
      <c r="B477"/>
      <c r="C477"/>
      <c r="D477"/>
      <c r="E477"/>
    </row>
    <row r="478" spans="1:5" ht="18" x14ac:dyDescent="0.55000000000000004">
      <c r="A478"/>
      <c r="B478"/>
      <c r="C478"/>
      <c r="D478"/>
      <c r="E478"/>
    </row>
    <row r="479" spans="1:5" ht="18" x14ac:dyDescent="0.55000000000000004">
      <c r="A479"/>
      <c r="B479"/>
      <c r="C479"/>
      <c r="D479"/>
      <c r="E479"/>
    </row>
    <row r="480" spans="1:5" ht="18" x14ac:dyDescent="0.55000000000000004">
      <c r="A480"/>
      <c r="B480"/>
      <c r="C480"/>
      <c r="D480"/>
      <c r="E480"/>
    </row>
    <row r="481" spans="1:5" ht="18" x14ac:dyDescent="0.55000000000000004">
      <c r="A481"/>
      <c r="B481"/>
      <c r="C481"/>
      <c r="D481"/>
      <c r="E481"/>
    </row>
    <row r="482" spans="1:5" ht="18" x14ac:dyDescent="0.55000000000000004">
      <c r="A482"/>
      <c r="B482"/>
      <c r="C482"/>
      <c r="D482"/>
      <c r="E482"/>
    </row>
    <row r="483" spans="1:5" ht="18" x14ac:dyDescent="0.55000000000000004">
      <c r="A483"/>
      <c r="B483"/>
      <c r="C483"/>
      <c r="D483"/>
      <c r="E483"/>
    </row>
    <row r="484" spans="1:5" ht="18" x14ac:dyDescent="0.55000000000000004">
      <c r="A484"/>
      <c r="B484"/>
      <c r="C484"/>
      <c r="D484"/>
      <c r="E484"/>
    </row>
    <row r="485" spans="1:5" ht="18" x14ac:dyDescent="0.55000000000000004">
      <c r="A485"/>
      <c r="B485"/>
      <c r="C485"/>
      <c r="D485"/>
      <c r="E485"/>
    </row>
    <row r="486" spans="1:5" ht="18" x14ac:dyDescent="0.55000000000000004">
      <c r="A486"/>
      <c r="B486"/>
      <c r="C486"/>
      <c r="D486"/>
      <c r="E486"/>
    </row>
    <row r="487" spans="1:5" ht="18" x14ac:dyDescent="0.55000000000000004">
      <c r="A487"/>
      <c r="B487"/>
      <c r="C487"/>
      <c r="D487"/>
      <c r="E487"/>
    </row>
    <row r="488" spans="1:5" ht="18" x14ac:dyDescent="0.55000000000000004">
      <c r="A488"/>
      <c r="B488"/>
      <c r="C488"/>
      <c r="D488"/>
      <c r="E488"/>
    </row>
    <row r="489" spans="1:5" ht="18" x14ac:dyDescent="0.55000000000000004">
      <c r="A489"/>
      <c r="B489"/>
      <c r="C489"/>
      <c r="D489"/>
      <c r="E489"/>
    </row>
    <row r="490" spans="1:5" ht="18" x14ac:dyDescent="0.55000000000000004">
      <c r="A490"/>
      <c r="B490"/>
      <c r="C490"/>
      <c r="D490"/>
      <c r="E490"/>
    </row>
    <row r="491" spans="1:5" ht="18" x14ac:dyDescent="0.55000000000000004">
      <c r="A491"/>
      <c r="B491"/>
      <c r="C491"/>
      <c r="D491"/>
      <c r="E491"/>
    </row>
    <row r="492" spans="1:5" ht="18" x14ac:dyDescent="0.55000000000000004">
      <c r="A492"/>
      <c r="B492"/>
      <c r="C492"/>
      <c r="D492"/>
      <c r="E492"/>
    </row>
    <row r="493" spans="1:5" ht="18" x14ac:dyDescent="0.55000000000000004">
      <c r="A493"/>
      <c r="B493"/>
      <c r="C493"/>
      <c r="D493"/>
      <c r="E493"/>
    </row>
    <row r="494" spans="1:5" ht="18" x14ac:dyDescent="0.55000000000000004">
      <c r="A494"/>
      <c r="B494"/>
      <c r="C494"/>
      <c r="D494"/>
      <c r="E494"/>
    </row>
    <row r="495" spans="1:5" ht="18" x14ac:dyDescent="0.55000000000000004">
      <c r="A495"/>
      <c r="B495"/>
      <c r="C495"/>
      <c r="D495"/>
      <c r="E495"/>
    </row>
    <row r="496" spans="1:5" ht="18" x14ac:dyDescent="0.55000000000000004">
      <c r="A496"/>
      <c r="B496"/>
      <c r="C496"/>
      <c r="D496"/>
      <c r="E496"/>
    </row>
    <row r="497" spans="1:5" ht="18" x14ac:dyDescent="0.55000000000000004">
      <c r="A497"/>
      <c r="B497"/>
      <c r="C497"/>
      <c r="D497"/>
      <c r="E497"/>
    </row>
    <row r="498" spans="1:5" ht="18" x14ac:dyDescent="0.55000000000000004">
      <c r="A498"/>
      <c r="B498"/>
      <c r="C498"/>
      <c r="D498"/>
      <c r="E498"/>
    </row>
    <row r="499" spans="1:5" ht="18" x14ac:dyDescent="0.55000000000000004">
      <c r="A499"/>
      <c r="B499"/>
      <c r="C499"/>
      <c r="D499"/>
      <c r="E499"/>
    </row>
    <row r="500" spans="1:5" ht="18" x14ac:dyDescent="0.55000000000000004">
      <c r="A500"/>
      <c r="B500"/>
      <c r="C500"/>
      <c r="D500"/>
      <c r="E500"/>
    </row>
    <row r="501" spans="1:5" ht="18" x14ac:dyDescent="0.55000000000000004">
      <c r="A501"/>
      <c r="B501"/>
      <c r="C501"/>
      <c r="D501"/>
      <c r="E501"/>
    </row>
    <row r="502" spans="1:5" ht="18" x14ac:dyDescent="0.55000000000000004">
      <c r="A502"/>
      <c r="B502"/>
      <c r="C502"/>
      <c r="D502"/>
      <c r="E502"/>
    </row>
    <row r="503" spans="1:5" ht="18" x14ac:dyDescent="0.55000000000000004">
      <c r="A503"/>
      <c r="B503"/>
      <c r="C503"/>
      <c r="D503"/>
      <c r="E503"/>
    </row>
    <row r="504" spans="1:5" ht="18" x14ac:dyDescent="0.55000000000000004">
      <c r="A504"/>
      <c r="B504"/>
      <c r="C504"/>
      <c r="D504"/>
      <c r="E504"/>
    </row>
    <row r="505" spans="1:5" ht="18" x14ac:dyDescent="0.55000000000000004">
      <c r="A505"/>
      <c r="B505"/>
      <c r="C505"/>
      <c r="D505"/>
      <c r="E505"/>
    </row>
    <row r="506" spans="1:5" ht="18" x14ac:dyDescent="0.55000000000000004">
      <c r="A506"/>
      <c r="B506"/>
      <c r="C506"/>
      <c r="D506"/>
      <c r="E506"/>
    </row>
    <row r="507" spans="1:5" ht="18" x14ac:dyDescent="0.55000000000000004">
      <c r="A507"/>
      <c r="B507"/>
      <c r="C507"/>
      <c r="D507"/>
      <c r="E507"/>
    </row>
    <row r="508" spans="1:5" ht="18" x14ac:dyDescent="0.55000000000000004">
      <c r="A508"/>
      <c r="B508"/>
      <c r="C508"/>
      <c r="D508"/>
      <c r="E508"/>
    </row>
    <row r="509" spans="1:5" ht="18" x14ac:dyDescent="0.55000000000000004">
      <c r="A509"/>
      <c r="B509"/>
      <c r="C509"/>
      <c r="D509"/>
      <c r="E509"/>
    </row>
    <row r="510" spans="1:5" ht="18" x14ac:dyDescent="0.55000000000000004">
      <c r="A510"/>
      <c r="B510"/>
      <c r="C510"/>
      <c r="D510"/>
      <c r="E510"/>
    </row>
    <row r="511" spans="1:5" ht="18" x14ac:dyDescent="0.55000000000000004">
      <c r="A511"/>
      <c r="B511"/>
      <c r="C511"/>
      <c r="D511"/>
      <c r="E511"/>
    </row>
    <row r="512" spans="1:5" ht="18" x14ac:dyDescent="0.55000000000000004">
      <c r="A512"/>
      <c r="B512"/>
      <c r="C512"/>
      <c r="D512"/>
      <c r="E512"/>
    </row>
    <row r="513" spans="1:5" ht="18" x14ac:dyDescent="0.55000000000000004">
      <c r="A513"/>
      <c r="B513"/>
      <c r="C513"/>
      <c r="D513"/>
      <c r="E513"/>
    </row>
    <row r="514" spans="1:5" ht="18" x14ac:dyDescent="0.55000000000000004">
      <c r="A514"/>
      <c r="B514"/>
      <c r="C514"/>
      <c r="D514"/>
      <c r="E514"/>
    </row>
    <row r="515" spans="1:5" ht="18" x14ac:dyDescent="0.55000000000000004">
      <c r="A515"/>
      <c r="B515"/>
      <c r="C515"/>
      <c r="D515"/>
      <c r="E515"/>
    </row>
    <row r="516" spans="1:5" ht="18" x14ac:dyDescent="0.55000000000000004">
      <c r="A516"/>
      <c r="B516"/>
      <c r="C516"/>
      <c r="D516"/>
      <c r="E516"/>
    </row>
    <row r="517" spans="1:5" ht="18" x14ac:dyDescent="0.55000000000000004">
      <c r="A517"/>
      <c r="B517"/>
      <c r="C517"/>
      <c r="D517"/>
      <c r="E517"/>
    </row>
    <row r="518" spans="1:5" ht="18" x14ac:dyDescent="0.55000000000000004">
      <c r="A518"/>
      <c r="B518"/>
      <c r="C518"/>
      <c r="D518"/>
      <c r="E518"/>
    </row>
    <row r="519" spans="1:5" ht="18" x14ac:dyDescent="0.55000000000000004">
      <c r="A519"/>
      <c r="B519"/>
      <c r="C519"/>
      <c r="D519"/>
      <c r="E519"/>
    </row>
    <row r="520" spans="1:5" ht="18" x14ac:dyDescent="0.55000000000000004">
      <c r="A520"/>
      <c r="B520"/>
      <c r="C520"/>
      <c r="D520"/>
      <c r="E520"/>
    </row>
    <row r="521" spans="1:5" ht="18" x14ac:dyDescent="0.55000000000000004">
      <c r="A521"/>
      <c r="B521"/>
      <c r="C521"/>
      <c r="D521"/>
      <c r="E521"/>
    </row>
    <row r="522" spans="1:5" ht="18" x14ac:dyDescent="0.55000000000000004">
      <c r="A522"/>
      <c r="B522"/>
      <c r="C522"/>
      <c r="D522"/>
      <c r="E522"/>
    </row>
    <row r="523" spans="1:5" ht="18" x14ac:dyDescent="0.55000000000000004">
      <c r="A523"/>
      <c r="B523"/>
      <c r="C523"/>
      <c r="D523"/>
      <c r="E523"/>
    </row>
    <row r="524" spans="1:5" ht="18" x14ac:dyDescent="0.55000000000000004">
      <c r="A524"/>
      <c r="B524"/>
      <c r="C524"/>
      <c r="D524"/>
      <c r="E524"/>
    </row>
    <row r="525" spans="1:5" ht="18" x14ac:dyDescent="0.55000000000000004">
      <c r="A525"/>
      <c r="B525"/>
      <c r="C525"/>
      <c r="D525"/>
      <c r="E525"/>
    </row>
    <row r="526" spans="1:5" ht="18" x14ac:dyDescent="0.55000000000000004">
      <c r="A526"/>
      <c r="B526"/>
      <c r="C526"/>
      <c r="D526"/>
      <c r="E526"/>
    </row>
    <row r="527" spans="1:5" ht="18" x14ac:dyDescent="0.55000000000000004">
      <c r="A527"/>
      <c r="B527"/>
      <c r="C527"/>
      <c r="D527"/>
      <c r="E527"/>
    </row>
    <row r="528" spans="1:5" ht="18" x14ac:dyDescent="0.55000000000000004">
      <c r="A528"/>
      <c r="B528"/>
      <c r="C528"/>
      <c r="D528"/>
      <c r="E528"/>
    </row>
    <row r="529" spans="1:5" ht="18" x14ac:dyDescent="0.55000000000000004">
      <c r="A529"/>
      <c r="B529"/>
      <c r="C529"/>
      <c r="D529"/>
      <c r="E529"/>
    </row>
    <row r="530" spans="1:5" ht="18" x14ac:dyDescent="0.55000000000000004">
      <c r="A530"/>
      <c r="B530"/>
      <c r="C530"/>
      <c r="D530"/>
      <c r="E530"/>
    </row>
    <row r="531" spans="1:5" ht="18" x14ac:dyDescent="0.55000000000000004">
      <c r="A531"/>
      <c r="B531"/>
      <c r="C531"/>
      <c r="D531"/>
      <c r="E531"/>
    </row>
    <row r="532" spans="1:5" ht="18" x14ac:dyDescent="0.55000000000000004">
      <c r="A532"/>
      <c r="B532"/>
      <c r="C532"/>
      <c r="D532"/>
      <c r="E532"/>
    </row>
    <row r="533" spans="1:5" ht="18" x14ac:dyDescent="0.55000000000000004">
      <c r="A533"/>
      <c r="B533"/>
      <c r="C533"/>
      <c r="D533"/>
      <c r="E533"/>
    </row>
    <row r="534" spans="1:5" ht="18" x14ac:dyDescent="0.55000000000000004">
      <c r="A534"/>
      <c r="B534"/>
      <c r="C534"/>
      <c r="D534"/>
      <c r="E534"/>
    </row>
    <row r="535" spans="1:5" ht="18" x14ac:dyDescent="0.55000000000000004">
      <c r="A535"/>
      <c r="B535"/>
      <c r="C535"/>
      <c r="D535"/>
      <c r="E535"/>
    </row>
    <row r="536" spans="1:5" ht="18" x14ac:dyDescent="0.55000000000000004">
      <c r="A536"/>
      <c r="B536"/>
      <c r="C536"/>
      <c r="D536"/>
      <c r="E536"/>
    </row>
    <row r="537" spans="1:5" ht="18" x14ac:dyDescent="0.55000000000000004">
      <c r="A537"/>
      <c r="B537"/>
      <c r="C537"/>
      <c r="D537"/>
      <c r="E537"/>
    </row>
    <row r="538" spans="1:5" ht="18" x14ac:dyDescent="0.55000000000000004">
      <c r="A538"/>
      <c r="B538"/>
      <c r="C538"/>
      <c r="D538"/>
      <c r="E538"/>
    </row>
    <row r="539" spans="1:5" ht="18" x14ac:dyDescent="0.55000000000000004">
      <c r="A539"/>
      <c r="B539"/>
      <c r="C539"/>
      <c r="D539"/>
      <c r="E539"/>
    </row>
    <row r="540" spans="1:5" ht="18" x14ac:dyDescent="0.55000000000000004">
      <c r="A540"/>
      <c r="B540"/>
      <c r="C540"/>
      <c r="D540"/>
      <c r="E540"/>
    </row>
    <row r="541" spans="1:5" ht="18" x14ac:dyDescent="0.55000000000000004">
      <c r="A541"/>
      <c r="B541"/>
      <c r="C541"/>
      <c r="D541"/>
      <c r="E541"/>
    </row>
    <row r="542" spans="1:5" ht="18" x14ac:dyDescent="0.55000000000000004">
      <c r="A542"/>
      <c r="B542"/>
      <c r="C542"/>
      <c r="D542"/>
      <c r="E542"/>
    </row>
    <row r="543" spans="1:5" ht="18" x14ac:dyDescent="0.55000000000000004">
      <c r="A543"/>
      <c r="B543"/>
      <c r="C543"/>
      <c r="D543"/>
      <c r="E543"/>
    </row>
    <row r="544" spans="1:5" ht="18" x14ac:dyDescent="0.55000000000000004">
      <c r="A544"/>
      <c r="B544"/>
      <c r="C544"/>
      <c r="D544"/>
      <c r="E544"/>
    </row>
    <row r="545" spans="1:5" ht="18" x14ac:dyDescent="0.55000000000000004">
      <c r="A545"/>
      <c r="B545"/>
      <c r="C545"/>
      <c r="D545"/>
      <c r="E545"/>
    </row>
    <row r="546" spans="1:5" ht="18" x14ac:dyDescent="0.55000000000000004">
      <c r="A546"/>
      <c r="B546"/>
      <c r="C546"/>
      <c r="D546"/>
      <c r="E546"/>
    </row>
    <row r="547" spans="1:5" ht="18" x14ac:dyDescent="0.55000000000000004">
      <c r="A547"/>
      <c r="B547"/>
      <c r="C547"/>
      <c r="D547"/>
      <c r="E547"/>
    </row>
    <row r="548" spans="1:5" ht="18" x14ac:dyDescent="0.55000000000000004">
      <c r="A548"/>
      <c r="B548"/>
      <c r="C548"/>
      <c r="D548"/>
      <c r="E548"/>
    </row>
    <row r="549" spans="1:5" ht="18" x14ac:dyDescent="0.55000000000000004">
      <c r="A549"/>
      <c r="B549"/>
      <c r="C549"/>
      <c r="D549"/>
      <c r="E549"/>
    </row>
    <row r="550" spans="1:5" ht="18" x14ac:dyDescent="0.55000000000000004">
      <c r="A550"/>
      <c r="B550"/>
      <c r="C550"/>
      <c r="D550"/>
      <c r="E550"/>
    </row>
    <row r="551" spans="1:5" ht="18" x14ac:dyDescent="0.55000000000000004">
      <c r="A551"/>
      <c r="B551"/>
      <c r="C551"/>
      <c r="D551"/>
      <c r="E551"/>
    </row>
    <row r="552" spans="1:5" ht="18" x14ac:dyDescent="0.55000000000000004">
      <c r="A552"/>
      <c r="B552"/>
      <c r="C552"/>
      <c r="D552"/>
      <c r="E552"/>
    </row>
    <row r="553" spans="1:5" ht="18" x14ac:dyDescent="0.55000000000000004">
      <c r="A553"/>
      <c r="B553"/>
      <c r="C553"/>
      <c r="D553"/>
      <c r="E553"/>
    </row>
  </sheetData>
  <phoneticPr fontId="1"/>
  <conditionalFormatting sqref="A2:A5">
    <cfRule type="expression" dxfId="8" priority="1" stopIfTrue="1">
      <formula>AND(A2&lt;&gt;"",ISNA(MATCH(A2,項目リスト,0)))</formula>
    </cfRule>
  </conditionalFormatting>
  <conditionalFormatting sqref="B2:C5 E2:E5">
    <cfRule type="expression" dxfId="7" priority="2" stopIfTrue="1">
      <formula>AND($A2&lt;&gt;"",B2="")</formula>
    </cfRule>
  </conditionalFormatting>
  <conditionalFormatting sqref="A6:A35">
    <cfRule type="expression" dxfId="2" priority="3" stopIfTrue="1">
      <formula>AND(A6&lt;&gt;"",ISNA(MATCH(A6,項目リスト,0)))</formula>
    </cfRule>
  </conditionalFormatting>
  <conditionalFormatting sqref="B6:C35 E6:E35">
    <cfRule type="expression" dxfId="1" priority="4" stopIfTrue="1">
      <formula>AND($A6&lt;&gt;"",B6="")</formula>
    </cfRule>
  </conditionalFormatting>
  <dataValidations count="7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5 A6:A35" xr:uid="{FB9BE42E-68FD-4BF6-B9C0-FA191404D22B}">
      <formula1>項目リスト</formula1>
    </dataValidation>
    <dataValidation imeMode="on" allowBlank="1" showInputMessage="1" showErrorMessage="1" sqref="E2:E5 B2:B5" xr:uid="{F889F959-488A-4A0B-A36B-D5F951A9D909}"/>
    <dataValidation imeMode="off" allowBlank="1" showInputMessage="1" showErrorMessage="1" sqref="C2:C5" xr:uid="{9913FB6C-1591-48EA-91E5-7F0839E2105F}"/>
    <dataValidation imeMode="on" allowBlank="1" showInputMessage="1" showErrorMessage="1" sqref="B6:B35 E6:E35" xr:uid="{D66DA781-A683-4EBE-95E7-B4DB3F1DA8A7}"/>
    <dataValidation imeMode="off" allowBlank="1" showInputMessage="1" showErrorMessage="1" sqref="C6:C35" xr:uid="{D2CDC45C-E5B4-4B23-B97F-236CECEB427F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890"/>
  <sheetViews>
    <sheetView showGridLines="0" workbookViewId="0">
      <pane ySplit="1" topLeftCell="A2" activePane="bottomLeft" state="frozen"/>
      <selection activeCell="E5" sqref="E5"/>
      <selection pane="bottomLeft" activeCell="D15" sqref="A15:D15"/>
    </sheetView>
  </sheetViews>
  <sheetFormatPr defaultRowHeight="15" x14ac:dyDescent="0.55000000000000004"/>
  <cols>
    <col min="1" max="1" width="14.83203125" style="30" customWidth="1"/>
    <col min="2" max="2" width="10.9140625" style="30" customWidth="1"/>
    <col min="3" max="3" width="13.4140625" style="30" customWidth="1"/>
    <col min="4" max="4" width="19.08203125" style="30" customWidth="1"/>
    <col min="5" max="16384" width="8.6640625" style="30"/>
  </cols>
  <sheetData>
    <row r="1" spans="1:4" x14ac:dyDescent="0.55000000000000004">
      <c r="A1" s="18" t="s">
        <v>83</v>
      </c>
      <c r="B1" s="31" t="s">
        <v>9</v>
      </c>
      <c r="C1" s="19" t="s">
        <v>127</v>
      </c>
      <c r="D1" s="22" t="s">
        <v>6</v>
      </c>
    </row>
    <row r="2" spans="1:4" x14ac:dyDescent="0.55000000000000004">
      <c r="A2" s="38" t="s">
        <v>98</v>
      </c>
      <c r="B2" s="38" t="s">
        <v>124</v>
      </c>
      <c r="C2" s="38" t="s">
        <v>102</v>
      </c>
      <c r="D2" s="38" t="s">
        <v>103</v>
      </c>
    </row>
    <row r="3" spans="1:4" x14ac:dyDescent="0.55000000000000004">
      <c r="A3" s="38" t="s">
        <v>98</v>
      </c>
      <c r="B3" s="38" t="s">
        <v>128</v>
      </c>
      <c r="C3" s="38" t="s">
        <v>101</v>
      </c>
      <c r="D3" s="38" t="s">
        <v>104</v>
      </c>
    </row>
    <row r="4" spans="1:4" x14ac:dyDescent="0.55000000000000004">
      <c r="A4" s="38" t="s">
        <v>98</v>
      </c>
      <c r="B4" s="38" t="s">
        <v>125</v>
      </c>
      <c r="C4" s="38" t="s">
        <v>105</v>
      </c>
      <c r="D4" s="38" t="s">
        <v>108</v>
      </c>
    </row>
    <row r="5" spans="1:4" x14ac:dyDescent="0.55000000000000004">
      <c r="A5" s="38" t="s">
        <v>98</v>
      </c>
      <c r="B5" s="38" t="s">
        <v>126</v>
      </c>
      <c r="C5" s="38" t="s">
        <v>106</v>
      </c>
      <c r="D5" s="38" t="s">
        <v>107</v>
      </c>
    </row>
    <row r="6" spans="1:4" x14ac:dyDescent="0.55000000000000004">
      <c r="A6" s="38" t="s">
        <v>129</v>
      </c>
      <c r="B6" s="38" t="s">
        <v>153</v>
      </c>
      <c r="C6" s="38" t="s">
        <v>154</v>
      </c>
      <c r="D6" s="38" t="s">
        <v>155</v>
      </c>
    </row>
    <row r="7" spans="1:4" x14ac:dyDescent="0.55000000000000004">
      <c r="A7" s="38" t="s">
        <v>129</v>
      </c>
      <c r="B7" s="38" t="s">
        <v>156</v>
      </c>
      <c r="C7" s="38" t="s">
        <v>157</v>
      </c>
      <c r="D7" s="38" t="s">
        <v>158</v>
      </c>
    </row>
    <row r="8" spans="1:4" x14ac:dyDescent="0.55000000000000004">
      <c r="A8" s="38" t="s">
        <v>129</v>
      </c>
      <c r="B8" s="38" t="s">
        <v>159</v>
      </c>
      <c r="C8" s="38" t="s">
        <v>160</v>
      </c>
      <c r="D8" s="38" t="s">
        <v>161</v>
      </c>
    </row>
    <row r="9" spans="1:4" x14ac:dyDescent="0.55000000000000004">
      <c r="A9" s="38" t="s">
        <v>129</v>
      </c>
      <c r="B9" s="38" t="s">
        <v>162</v>
      </c>
      <c r="C9" s="38" t="s">
        <v>163</v>
      </c>
      <c r="D9" s="38" t="s">
        <v>164</v>
      </c>
    </row>
    <row r="10" spans="1:4" x14ac:dyDescent="0.55000000000000004">
      <c r="A10" s="38" t="s">
        <v>129</v>
      </c>
      <c r="B10" s="38" t="s">
        <v>165</v>
      </c>
      <c r="C10" s="38" t="s">
        <v>166</v>
      </c>
      <c r="D10" s="38" t="s">
        <v>167</v>
      </c>
    </row>
    <row r="11" spans="1:4" x14ac:dyDescent="0.55000000000000004">
      <c r="A11" s="38" t="s">
        <v>204</v>
      </c>
      <c r="B11" s="38" t="s">
        <v>210</v>
      </c>
      <c r="C11" s="38" t="s">
        <v>211</v>
      </c>
      <c r="D11" s="38" t="s">
        <v>211</v>
      </c>
    </row>
    <row r="12" spans="1:4" x14ac:dyDescent="0.55000000000000004">
      <c r="A12" s="38" t="s">
        <v>204</v>
      </c>
      <c r="B12" s="38" t="s">
        <v>208</v>
      </c>
      <c r="C12" s="38" t="s">
        <v>101</v>
      </c>
      <c r="D12" s="38" t="s">
        <v>212</v>
      </c>
    </row>
    <row r="13" spans="1:4" x14ac:dyDescent="0.55000000000000004">
      <c r="A13" s="38" t="s">
        <v>204</v>
      </c>
      <c r="B13" s="38" t="s">
        <v>213</v>
      </c>
      <c r="C13" s="38" t="s">
        <v>214</v>
      </c>
      <c r="D13" s="38" t="s">
        <v>214</v>
      </c>
    </row>
    <row r="14" spans="1:4" x14ac:dyDescent="0.55000000000000004">
      <c r="A14" s="43" t="s">
        <v>204</v>
      </c>
      <c r="B14" s="43" t="s">
        <v>215</v>
      </c>
      <c r="C14" s="43" t="s">
        <v>216</v>
      </c>
      <c r="D14" s="43" t="s">
        <v>216</v>
      </c>
    </row>
    <row r="15" spans="1:4" x14ac:dyDescent="0.55000000000000004">
      <c r="A15" s="38"/>
      <c r="B15" s="38"/>
      <c r="C15" s="38"/>
      <c r="D15" s="38"/>
    </row>
    <row r="16" spans="1:4" x14ac:dyDescent="0.55000000000000004">
      <c r="A16" s="38"/>
      <c r="B16" s="38"/>
      <c r="C16" s="38"/>
      <c r="D16" s="38"/>
    </row>
    <row r="17" spans="1:4" x14ac:dyDescent="0.55000000000000004">
      <c r="A17" s="38"/>
      <c r="B17" s="38"/>
      <c r="C17" s="38"/>
      <c r="D17" s="38"/>
    </row>
    <row r="18" spans="1:4" x14ac:dyDescent="0.55000000000000004">
      <c r="A18" s="38"/>
      <c r="B18" s="38"/>
      <c r="C18" s="38"/>
      <c r="D18" s="38"/>
    </row>
    <row r="19" spans="1:4" x14ac:dyDescent="0.55000000000000004">
      <c r="A19" s="38"/>
      <c r="B19" s="38"/>
      <c r="C19" s="38"/>
      <c r="D19" s="38"/>
    </row>
    <row r="20" spans="1:4" x14ac:dyDescent="0.55000000000000004">
      <c r="A20" s="38"/>
      <c r="B20" s="38"/>
      <c r="C20" s="38"/>
      <c r="D20" s="38"/>
    </row>
    <row r="21" spans="1:4" x14ac:dyDescent="0.55000000000000004">
      <c r="A21" s="38"/>
      <c r="B21" s="38"/>
      <c r="C21" s="38"/>
      <c r="D21" s="38"/>
    </row>
    <row r="22" spans="1:4" x14ac:dyDescent="0.55000000000000004">
      <c r="A22" s="38"/>
      <c r="B22" s="38"/>
      <c r="C22" s="38"/>
      <c r="D22" s="38"/>
    </row>
    <row r="23" spans="1:4" x14ac:dyDescent="0.55000000000000004">
      <c r="A23" s="38"/>
      <c r="B23" s="38"/>
      <c r="C23" s="38"/>
      <c r="D23" s="38"/>
    </row>
    <row r="24" spans="1:4" x14ac:dyDescent="0.55000000000000004">
      <c r="A24" s="38"/>
      <c r="B24" s="38"/>
      <c r="C24" s="38"/>
      <c r="D24" s="38"/>
    </row>
    <row r="25" spans="1:4" x14ac:dyDescent="0.55000000000000004">
      <c r="A25" s="38"/>
      <c r="B25" s="38"/>
      <c r="C25" s="38"/>
      <c r="D25" s="38"/>
    </row>
    <row r="26" spans="1:4" x14ac:dyDescent="0.55000000000000004">
      <c r="A26" s="38"/>
      <c r="B26" s="38"/>
      <c r="C26" s="38"/>
      <c r="D26" s="38"/>
    </row>
    <row r="27" spans="1:4" x14ac:dyDescent="0.55000000000000004">
      <c r="A27" s="38"/>
      <c r="B27" s="38"/>
      <c r="C27" s="38"/>
      <c r="D27" s="38"/>
    </row>
    <row r="28" spans="1:4" x14ac:dyDescent="0.55000000000000004">
      <c r="A28" s="38"/>
      <c r="B28" s="38"/>
      <c r="C28" s="38"/>
      <c r="D28" s="38"/>
    </row>
    <row r="29" spans="1:4" x14ac:dyDescent="0.55000000000000004">
      <c r="A29" s="38"/>
      <c r="B29" s="38"/>
      <c r="C29" s="38"/>
      <c r="D29" s="38"/>
    </row>
    <row r="30" spans="1:4" x14ac:dyDescent="0.55000000000000004">
      <c r="A30" s="38"/>
      <c r="B30" s="38"/>
      <c r="C30" s="38"/>
      <c r="D30" s="38"/>
    </row>
    <row r="31" spans="1:4" x14ac:dyDescent="0.55000000000000004">
      <c r="A31" s="38"/>
      <c r="B31" s="38"/>
      <c r="C31" s="38"/>
      <c r="D31" s="38"/>
    </row>
    <row r="32" spans="1:4" x14ac:dyDescent="0.55000000000000004">
      <c r="A32" s="38"/>
      <c r="B32" s="38"/>
      <c r="C32" s="38"/>
      <c r="D32" s="38"/>
    </row>
    <row r="33" spans="1:4" x14ac:dyDescent="0.55000000000000004">
      <c r="A33" s="38"/>
      <c r="B33" s="38"/>
      <c r="C33" s="38"/>
      <c r="D33" s="38"/>
    </row>
    <row r="34" spans="1:4" x14ac:dyDescent="0.55000000000000004">
      <c r="A34" s="38"/>
      <c r="B34" s="38"/>
      <c r="C34" s="38"/>
      <c r="D34" s="38"/>
    </row>
    <row r="35" spans="1:4" x14ac:dyDescent="0.55000000000000004">
      <c r="A35" s="38"/>
      <c r="B35" s="38"/>
      <c r="C35" s="38"/>
      <c r="D35" s="38"/>
    </row>
    <row r="36" spans="1:4" x14ac:dyDescent="0.55000000000000004">
      <c r="A36" s="38"/>
      <c r="B36" s="38"/>
      <c r="C36" s="38"/>
      <c r="D36" s="38"/>
    </row>
    <row r="37" spans="1:4" x14ac:dyDescent="0.55000000000000004">
      <c r="A37" s="38"/>
      <c r="B37" s="38"/>
      <c r="C37" s="38"/>
      <c r="D37" s="38"/>
    </row>
    <row r="38" spans="1:4" x14ac:dyDescent="0.55000000000000004">
      <c r="A38" s="38"/>
      <c r="B38" s="38"/>
      <c r="C38" s="38"/>
      <c r="D38" s="38"/>
    </row>
    <row r="39" spans="1:4" x14ac:dyDescent="0.55000000000000004">
      <c r="A39" s="38"/>
      <c r="B39" s="38"/>
      <c r="C39" s="38"/>
      <c r="D39" s="38"/>
    </row>
    <row r="40" spans="1:4" x14ac:dyDescent="0.55000000000000004">
      <c r="A40" s="38"/>
      <c r="B40" s="38"/>
      <c r="C40" s="38"/>
      <c r="D40" s="38"/>
    </row>
    <row r="41" spans="1:4" x14ac:dyDescent="0.55000000000000004">
      <c r="A41" s="38"/>
      <c r="B41" s="38"/>
      <c r="C41" s="38"/>
      <c r="D41" s="38"/>
    </row>
    <row r="42" spans="1:4" x14ac:dyDescent="0.55000000000000004">
      <c r="A42" s="38"/>
      <c r="B42" s="38"/>
      <c r="C42" s="38"/>
      <c r="D42" s="38"/>
    </row>
    <row r="43" spans="1:4" x14ac:dyDescent="0.55000000000000004">
      <c r="A43" s="38"/>
      <c r="B43" s="38"/>
      <c r="C43" s="38"/>
      <c r="D43" s="38"/>
    </row>
    <row r="44" spans="1:4" x14ac:dyDescent="0.55000000000000004">
      <c r="A44" s="39"/>
      <c r="B44" s="39"/>
      <c r="C44" s="39"/>
      <c r="D44" s="39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  <row r="615" spans="1:4" ht="18" x14ac:dyDescent="0.55000000000000004">
      <c r="A615"/>
      <c r="B615"/>
      <c r="C615"/>
      <c r="D615"/>
    </row>
    <row r="616" spans="1:4" ht="18" x14ac:dyDescent="0.55000000000000004">
      <c r="A616"/>
      <c r="B616"/>
      <c r="C616"/>
      <c r="D616"/>
    </row>
    <row r="617" spans="1:4" ht="18" x14ac:dyDescent="0.55000000000000004">
      <c r="A617"/>
      <c r="B617"/>
      <c r="C617"/>
      <c r="D617"/>
    </row>
    <row r="618" spans="1:4" ht="18" x14ac:dyDescent="0.55000000000000004">
      <c r="A618"/>
      <c r="B618"/>
      <c r="C618"/>
      <c r="D618"/>
    </row>
    <row r="619" spans="1:4" ht="18" x14ac:dyDescent="0.55000000000000004">
      <c r="A619"/>
      <c r="B619"/>
      <c r="C619"/>
      <c r="D619"/>
    </row>
    <row r="620" spans="1:4" ht="18" x14ac:dyDescent="0.55000000000000004">
      <c r="A620"/>
      <c r="B620"/>
      <c r="C620"/>
      <c r="D620"/>
    </row>
    <row r="621" spans="1:4" ht="18" x14ac:dyDescent="0.55000000000000004">
      <c r="A621"/>
      <c r="B621"/>
      <c r="C621"/>
      <c r="D621"/>
    </row>
    <row r="622" spans="1:4" ht="18" x14ac:dyDescent="0.55000000000000004">
      <c r="A622"/>
      <c r="B622"/>
      <c r="C622"/>
      <c r="D622"/>
    </row>
    <row r="623" spans="1:4" ht="18" x14ac:dyDescent="0.55000000000000004">
      <c r="A623"/>
      <c r="B623"/>
      <c r="C623"/>
      <c r="D623"/>
    </row>
    <row r="624" spans="1:4" ht="18" x14ac:dyDescent="0.55000000000000004">
      <c r="A624"/>
      <c r="B624"/>
      <c r="C624"/>
      <c r="D624"/>
    </row>
    <row r="625" spans="1:4" ht="18" x14ac:dyDescent="0.55000000000000004">
      <c r="A625"/>
      <c r="B625"/>
      <c r="C625"/>
      <c r="D625"/>
    </row>
    <row r="626" spans="1:4" ht="18" x14ac:dyDescent="0.55000000000000004">
      <c r="A626"/>
      <c r="B626"/>
      <c r="C626"/>
      <c r="D626"/>
    </row>
    <row r="627" spans="1:4" ht="18" x14ac:dyDescent="0.55000000000000004">
      <c r="A627"/>
      <c r="B627"/>
      <c r="C627"/>
      <c r="D627"/>
    </row>
    <row r="628" spans="1:4" ht="18" x14ac:dyDescent="0.55000000000000004">
      <c r="A628"/>
      <c r="B628"/>
      <c r="C628"/>
      <c r="D628"/>
    </row>
    <row r="629" spans="1:4" ht="18" x14ac:dyDescent="0.55000000000000004">
      <c r="A629"/>
      <c r="B629"/>
      <c r="C629"/>
      <c r="D629"/>
    </row>
    <row r="630" spans="1:4" ht="18" x14ac:dyDescent="0.55000000000000004">
      <c r="A630"/>
      <c r="B630"/>
      <c r="C630"/>
      <c r="D630"/>
    </row>
    <row r="631" spans="1:4" ht="18" x14ac:dyDescent="0.55000000000000004">
      <c r="A631"/>
      <c r="B631"/>
      <c r="C631"/>
      <c r="D631"/>
    </row>
    <row r="632" spans="1:4" ht="18" x14ac:dyDescent="0.55000000000000004">
      <c r="A632"/>
      <c r="B632"/>
      <c r="C632"/>
      <c r="D632"/>
    </row>
    <row r="633" spans="1:4" ht="18" x14ac:dyDescent="0.55000000000000004">
      <c r="A633"/>
      <c r="B633"/>
      <c r="C633"/>
      <c r="D633"/>
    </row>
    <row r="634" spans="1:4" ht="18" x14ac:dyDescent="0.55000000000000004">
      <c r="A634"/>
      <c r="B634"/>
      <c r="C634"/>
      <c r="D634"/>
    </row>
    <row r="635" spans="1:4" ht="18" x14ac:dyDescent="0.55000000000000004">
      <c r="A635"/>
      <c r="B635"/>
      <c r="C635"/>
      <c r="D635"/>
    </row>
    <row r="636" spans="1:4" ht="18" x14ac:dyDescent="0.55000000000000004">
      <c r="A636"/>
      <c r="B636"/>
      <c r="C636"/>
      <c r="D636"/>
    </row>
    <row r="637" spans="1:4" ht="18" x14ac:dyDescent="0.55000000000000004">
      <c r="A637"/>
      <c r="B637"/>
      <c r="C637"/>
      <c r="D637"/>
    </row>
    <row r="638" spans="1:4" ht="18" x14ac:dyDescent="0.55000000000000004">
      <c r="A638"/>
      <c r="B638"/>
      <c r="C638"/>
      <c r="D638"/>
    </row>
    <row r="639" spans="1:4" ht="18" x14ac:dyDescent="0.55000000000000004">
      <c r="A639"/>
      <c r="B639"/>
      <c r="C639"/>
      <c r="D639"/>
    </row>
    <row r="640" spans="1:4" ht="18" x14ac:dyDescent="0.55000000000000004">
      <c r="A640"/>
      <c r="B640"/>
      <c r="C640"/>
      <c r="D640"/>
    </row>
    <row r="641" spans="1:4" ht="18" x14ac:dyDescent="0.55000000000000004">
      <c r="A641"/>
      <c r="B641"/>
      <c r="C641"/>
      <c r="D641"/>
    </row>
    <row r="642" spans="1:4" ht="18" x14ac:dyDescent="0.55000000000000004">
      <c r="A642"/>
      <c r="B642"/>
      <c r="C642"/>
      <c r="D642"/>
    </row>
    <row r="643" spans="1:4" ht="18" x14ac:dyDescent="0.55000000000000004">
      <c r="A643"/>
      <c r="B643"/>
      <c r="C643"/>
      <c r="D643"/>
    </row>
    <row r="644" spans="1:4" ht="18" x14ac:dyDescent="0.55000000000000004">
      <c r="A644"/>
      <c r="B644"/>
      <c r="C644"/>
      <c r="D644"/>
    </row>
    <row r="645" spans="1:4" ht="18" x14ac:dyDescent="0.55000000000000004">
      <c r="A645"/>
      <c r="B645"/>
      <c r="C645"/>
      <c r="D645"/>
    </row>
    <row r="646" spans="1:4" ht="18" x14ac:dyDescent="0.55000000000000004">
      <c r="A646"/>
      <c r="B646"/>
      <c r="C646"/>
      <c r="D646"/>
    </row>
    <row r="647" spans="1:4" ht="18" x14ac:dyDescent="0.55000000000000004">
      <c r="A647"/>
      <c r="B647"/>
      <c r="C647"/>
      <c r="D647"/>
    </row>
    <row r="648" spans="1:4" ht="18" x14ac:dyDescent="0.55000000000000004">
      <c r="A648"/>
      <c r="B648"/>
      <c r="C648"/>
      <c r="D648"/>
    </row>
    <row r="649" spans="1:4" ht="18" x14ac:dyDescent="0.55000000000000004">
      <c r="A649"/>
      <c r="B649"/>
      <c r="C649"/>
      <c r="D649"/>
    </row>
    <row r="650" spans="1:4" ht="18" x14ac:dyDescent="0.55000000000000004">
      <c r="A650"/>
      <c r="B650"/>
      <c r="C650"/>
      <c r="D650"/>
    </row>
    <row r="651" spans="1:4" ht="18" x14ac:dyDescent="0.55000000000000004">
      <c r="A651"/>
      <c r="B651"/>
      <c r="C651"/>
      <c r="D651"/>
    </row>
    <row r="652" spans="1:4" ht="18" x14ac:dyDescent="0.55000000000000004">
      <c r="A652"/>
      <c r="B652"/>
      <c r="C652"/>
      <c r="D652"/>
    </row>
    <row r="653" spans="1:4" ht="18" x14ac:dyDescent="0.55000000000000004">
      <c r="A653"/>
      <c r="B653"/>
      <c r="C653"/>
      <c r="D653"/>
    </row>
    <row r="654" spans="1:4" ht="18" x14ac:dyDescent="0.55000000000000004">
      <c r="A654"/>
      <c r="B654"/>
      <c r="C654"/>
      <c r="D654"/>
    </row>
    <row r="655" spans="1:4" ht="18" x14ac:dyDescent="0.55000000000000004">
      <c r="A655"/>
      <c r="B655"/>
      <c r="C655"/>
      <c r="D655"/>
    </row>
    <row r="656" spans="1:4" ht="18" x14ac:dyDescent="0.55000000000000004">
      <c r="A656"/>
      <c r="B656"/>
      <c r="C656"/>
      <c r="D656"/>
    </row>
    <row r="657" spans="1:4" ht="18" x14ac:dyDescent="0.55000000000000004">
      <c r="A657"/>
      <c r="B657"/>
      <c r="C657"/>
      <c r="D657"/>
    </row>
    <row r="658" spans="1:4" ht="18" x14ac:dyDescent="0.55000000000000004">
      <c r="A658"/>
      <c r="B658"/>
      <c r="C658"/>
      <c r="D658"/>
    </row>
    <row r="659" spans="1:4" ht="18" x14ac:dyDescent="0.55000000000000004">
      <c r="A659"/>
      <c r="B659"/>
      <c r="C659"/>
      <c r="D659"/>
    </row>
    <row r="660" spans="1:4" ht="18" x14ac:dyDescent="0.55000000000000004">
      <c r="A660"/>
      <c r="B660"/>
      <c r="C660"/>
      <c r="D660"/>
    </row>
    <row r="661" spans="1:4" ht="18" x14ac:dyDescent="0.55000000000000004">
      <c r="A661"/>
      <c r="B661"/>
      <c r="C661"/>
      <c r="D661"/>
    </row>
    <row r="662" spans="1:4" ht="18" x14ac:dyDescent="0.55000000000000004">
      <c r="A662"/>
      <c r="B662"/>
      <c r="C662"/>
      <c r="D662"/>
    </row>
    <row r="663" spans="1:4" ht="18" x14ac:dyDescent="0.55000000000000004">
      <c r="A663"/>
      <c r="B663"/>
      <c r="C663"/>
      <c r="D663"/>
    </row>
    <row r="664" spans="1:4" ht="18" x14ac:dyDescent="0.55000000000000004">
      <c r="A664"/>
      <c r="B664"/>
      <c r="C664"/>
      <c r="D664"/>
    </row>
    <row r="665" spans="1:4" ht="18" x14ac:dyDescent="0.55000000000000004">
      <c r="A665"/>
      <c r="B665"/>
      <c r="C665"/>
      <c r="D665"/>
    </row>
    <row r="666" spans="1:4" ht="18" x14ac:dyDescent="0.55000000000000004">
      <c r="A666"/>
      <c r="B666"/>
      <c r="C666"/>
      <c r="D666"/>
    </row>
    <row r="667" spans="1:4" ht="18" x14ac:dyDescent="0.55000000000000004">
      <c r="A667"/>
      <c r="B667"/>
      <c r="C667"/>
      <c r="D667"/>
    </row>
    <row r="668" spans="1:4" ht="18" x14ac:dyDescent="0.55000000000000004">
      <c r="A668"/>
      <c r="B668"/>
      <c r="C668"/>
      <c r="D668"/>
    </row>
    <row r="669" spans="1:4" ht="18" x14ac:dyDescent="0.55000000000000004">
      <c r="A669"/>
      <c r="B669"/>
      <c r="C669"/>
      <c r="D669"/>
    </row>
    <row r="670" spans="1:4" ht="18" x14ac:dyDescent="0.55000000000000004">
      <c r="A670"/>
      <c r="B670"/>
      <c r="C670"/>
      <c r="D670"/>
    </row>
    <row r="671" spans="1:4" ht="18" x14ac:dyDescent="0.55000000000000004">
      <c r="A671"/>
      <c r="B671"/>
      <c r="C671"/>
      <c r="D671"/>
    </row>
    <row r="672" spans="1:4" ht="18" x14ac:dyDescent="0.55000000000000004">
      <c r="A672"/>
      <c r="B672"/>
      <c r="C672"/>
      <c r="D672"/>
    </row>
    <row r="673" spans="1:4" ht="18" x14ac:dyDescent="0.55000000000000004">
      <c r="A673"/>
      <c r="B673"/>
      <c r="C673"/>
      <c r="D673"/>
    </row>
    <row r="674" spans="1:4" ht="18" x14ac:dyDescent="0.55000000000000004">
      <c r="A674"/>
      <c r="B674"/>
      <c r="C674"/>
      <c r="D674"/>
    </row>
    <row r="675" spans="1:4" ht="18" x14ac:dyDescent="0.55000000000000004">
      <c r="A675"/>
      <c r="B675"/>
      <c r="C675"/>
      <c r="D675"/>
    </row>
    <row r="676" spans="1:4" ht="18" x14ac:dyDescent="0.55000000000000004">
      <c r="A676"/>
      <c r="B676"/>
      <c r="C676"/>
      <c r="D676"/>
    </row>
    <row r="677" spans="1:4" ht="18" x14ac:dyDescent="0.55000000000000004">
      <c r="A677"/>
      <c r="B677"/>
      <c r="C677"/>
      <c r="D677"/>
    </row>
    <row r="678" spans="1:4" ht="18" x14ac:dyDescent="0.55000000000000004">
      <c r="A678"/>
      <c r="B678"/>
      <c r="C678"/>
      <c r="D678"/>
    </row>
    <row r="679" spans="1:4" ht="18" x14ac:dyDescent="0.55000000000000004">
      <c r="A679"/>
      <c r="B679"/>
      <c r="C679"/>
      <c r="D679"/>
    </row>
    <row r="680" spans="1:4" ht="18" x14ac:dyDescent="0.55000000000000004">
      <c r="A680"/>
      <c r="B680"/>
      <c r="C680"/>
      <c r="D680"/>
    </row>
    <row r="681" spans="1:4" ht="18" x14ac:dyDescent="0.55000000000000004">
      <c r="A681"/>
      <c r="B681"/>
      <c r="C681"/>
      <c r="D681"/>
    </row>
    <row r="682" spans="1:4" ht="18" x14ac:dyDescent="0.55000000000000004">
      <c r="A682"/>
      <c r="B682"/>
      <c r="C682"/>
      <c r="D682"/>
    </row>
    <row r="683" spans="1:4" ht="18" x14ac:dyDescent="0.55000000000000004">
      <c r="A683"/>
      <c r="B683"/>
      <c r="C683"/>
      <c r="D683"/>
    </row>
    <row r="684" spans="1:4" ht="18" x14ac:dyDescent="0.55000000000000004">
      <c r="A684"/>
      <c r="B684"/>
      <c r="C684"/>
      <c r="D684"/>
    </row>
    <row r="685" spans="1:4" ht="18" x14ac:dyDescent="0.55000000000000004">
      <c r="A685"/>
      <c r="B685"/>
      <c r="C685"/>
      <c r="D685"/>
    </row>
    <row r="686" spans="1:4" ht="18" x14ac:dyDescent="0.55000000000000004">
      <c r="A686"/>
      <c r="B686"/>
      <c r="C686"/>
      <c r="D686"/>
    </row>
    <row r="687" spans="1:4" ht="18" x14ac:dyDescent="0.55000000000000004">
      <c r="A687"/>
      <c r="B687"/>
      <c r="C687"/>
      <c r="D687"/>
    </row>
    <row r="688" spans="1:4" ht="18" x14ac:dyDescent="0.55000000000000004">
      <c r="A688"/>
      <c r="B688"/>
      <c r="C688"/>
      <c r="D688"/>
    </row>
    <row r="689" spans="1:4" ht="18" x14ac:dyDescent="0.55000000000000004">
      <c r="A689"/>
      <c r="B689"/>
      <c r="C689"/>
      <c r="D689"/>
    </row>
    <row r="690" spans="1:4" ht="18" x14ac:dyDescent="0.55000000000000004">
      <c r="A690"/>
      <c r="B690"/>
      <c r="C690"/>
      <c r="D690"/>
    </row>
    <row r="691" spans="1:4" ht="18" x14ac:dyDescent="0.55000000000000004">
      <c r="A691"/>
      <c r="B691"/>
      <c r="C691"/>
      <c r="D691"/>
    </row>
    <row r="692" spans="1:4" ht="18" x14ac:dyDescent="0.55000000000000004">
      <c r="A692"/>
      <c r="B692"/>
      <c r="C692"/>
      <c r="D692"/>
    </row>
    <row r="693" spans="1:4" ht="18" x14ac:dyDescent="0.55000000000000004">
      <c r="A693"/>
      <c r="B693"/>
      <c r="C693"/>
      <c r="D693"/>
    </row>
    <row r="694" spans="1:4" ht="18" x14ac:dyDescent="0.55000000000000004">
      <c r="A694"/>
      <c r="B694"/>
      <c r="C694"/>
      <c r="D694"/>
    </row>
    <row r="695" spans="1:4" ht="18" x14ac:dyDescent="0.55000000000000004">
      <c r="A695"/>
      <c r="B695"/>
      <c r="C695"/>
      <c r="D695"/>
    </row>
    <row r="696" spans="1:4" ht="18" x14ac:dyDescent="0.55000000000000004">
      <c r="A696"/>
      <c r="B696"/>
      <c r="C696"/>
      <c r="D696"/>
    </row>
    <row r="697" spans="1:4" ht="18" x14ac:dyDescent="0.55000000000000004">
      <c r="A697"/>
      <c r="B697"/>
      <c r="C697"/>
      <c r="D697"/>
    </row>
    <row r="698" spans="1:4" ht="18" x14ac:dyDescent="0.55000000000000004">
      <c r="A698"/>
      <c r="B698"/>
      <c r="C698"/>
      <c r="D698"/>
    </row>
    <row r="699" spans="1:4" ht="18" x14ac:dyDescent="0.55000000000000004">
      <c r="A699"/>
      <c r="B699"/>
      <c r="C699"/>
      <c r="D699"/>
    </row>
    <row r="700" spans="1:4" ht="18" x14ac:dyDescent="0.55000000000000004">
      <c r="A700"/>
      <c r="B700"/>
      <c r="C700"/>
      <c r="D700"/>
    </row>
    <row r="701" spans="1:4" ht="18" x14ac:dyDescent="0.55000000000000004">
      <c r="A701"/>
      <c r="B701"/>
      <c r="C701"/>
      <c r="D701"/>
    </row>
    <row r="702" spans="1:4" ht="18" x14ac:dyDescent="0.55000000000000004">
      <c r="A702"/>
      <c r="B702"/>
      <c r="C702"/>
      <c r="D702"/>
    </row>
    <row r="703" spans="1:4" ht="18" x14ac:dyDescent="0.55000000000000004">
      <c r="A703"/>
      <c r="B703"/>
      <c r="C703"/>
      <c r="D703"/>
    </row>
    <row r="704" spans="1:4" ht="18" x14ac:dyDescent="0.55000000000000004">
      <c r="A704"/>
      <c r="B704"/>
      <c r="C704"/>
      <c r="D704"/>
    </row>
    <row r="705" spans="1:4" ht="18" x14ac:dyDescent="0.55000000000000004">
      <c r="A705"/>
      <c r="B705"/>
      <c r="C705"/>
      <c r="D705"/>
    </row>
    <row r="706" spans="1:4" ht="18" x14ac:dyDescent="0.55000000000000004">
      <c r="A706"/>
      <c r="B706"/>
      <c r="C706"/>
      <c r="D706"/>
    </row>
    <row r="707" spans="1:4" ht="18" x14ac:dyDescent="0.55000000000000004">
      <c r="A707"/>
      <c r="B707"/>
      <c r="C707"/>
      <c r="D707"/>
    </row>
    <row r="708" spans="1:4" ht="18" x14ac:dyDescent="0.55000000000000004">
      <c r="A708"/>
      <c r="B708"/>
      <c r="C708"/>
      <c r="D708"/>
    </row>
    <row r="709" spans="1:4" ht="18" x14ac:dyDescent="0.55000000000000004">
      <c r="A709"/>
      <c r="B709"/>
      <c r="C709"/>
      <c r="D709"/>
    </row>
    <row r="710" spans="1:4" ht="18" x14ac:dyDescent="0.55000000000000004">
      <c r="A710"/>
      <c r="B710"/>
      <c r="C710"/>
      <c r="D710"/>
    </row>
    <row r="711" spans="1:4" ht="18" x14ac:dyDescent="0.55000000000000004">
      <c r="A711"/>
      <c r="B711"/>
      <c r="C711"/>
      <c r="D711"/>
    </row>
    <row r="712" spans="1:4" ht="18" x14ac:dyDescent="0.55000000000000004">
      <c r="A712"/>
      <c r="B712"/>
      <c r="C712"/>
      <c r="D712"/>
    </row>
    <row r="713" spans="1:4" ht="18" x14ac:dyDescent="0.55000000000000004">
      <c r="A713"/>
      <c r="B713"/>
      <c r="C713"/>
      <c r="D713"/>
    </row>
    <row r="714" spans="1:4" ht="18" x14ac:dyDescent="0.55000000000000004">
      <c r="A714"/>
      <c r="B714"/>
      <c r="C714"/>
      <c r="D714"/>
    </row>
    <row r="715" spans="1:4" ht="18" x14ac:dyDescent="0.55000000000000004">
      <c r="A715"/>
      <c r="B715"/>
      <c r="C715"/>
      <c r="D715"/>
    </row>
    <row r="716" spans="1:4" ht="18" x14ac:dyDescent="0.55000000000000004">
      <c r="A716"/>
      <c r="B716"/>
      <c r="C716"/>
      <c r="D716"/>
    </row>
    <row r="717" spans="1:4" ht="18" x14ac:dyDescent="0.55000000000000004">
      <c r="A717"/>
      <c r="B717"/>
      <c r="C717"/>
      <c r="D717"/>
    </row>
    <row r="718" spans="1:4" ht="18" x14ac:dyDescent="0.55000000000000004">
      <c r="A718"/>
      <c r="B718"/>
      <c r="C718"/>
      <c r="D718"/>
    </row>
    <row r="719" spans="1:4" ht="18" x14ac:dyDescent="0.55000000000000004">
      <c r="A719"/>
      <c r="B719"/>
      <c r="C719"/>
      <c r="D719"/>
    </row>
    <row r="720" spans="1:4" ht="18" x14ac:dyDescent="0.55000000000000004">
      <c r="A720"/>
      <c r="B720"/>
      <c r="C720"/>
      <c r="D720"/>
    </row>
    <row r="721" spans="1:4" ht="18" x14ac:dyDescent="0.55000000000000004">
      <c r="A721"/>
      <c r="B721"/>
      <c r="C721"/>
      <c r="D721"/>
    </row>
    <row r="722" spans="1:4" ht="18" x14ac:dyDescent="0.55000000000000004">
      <c r="A722"/>
      <c r="B722"/>
      <c r="C722"/>
      <c r="D722"/>
    </row>
    <row r="723" spans="1:4" ht="18" x14ac:dyDescent="0.55000000000000004">
      <c r="A723"/>
      <c r="B723"/>
      <c r="C723"/>
      <c r="D723"/>
    </row>
    <row r="724" spans="1:4" ht="18" x14ac:dyDescent="0.55000000000000004">
      <c r="A724"/>
      <c r="B724"/>
      <c r="C724"/>
      <c r="D724"/>
    </row>
    <row r="725" spans="1:4" ht="18" x14ac:dyDescent="0.55000000000000004">
      <c r="A725"/>
      <c r="B725"/>
      <c r="C725"/>
      <c r="D725"/>
    </row>
    <row r="726" spans="1:4" ht="18" x14ac:dyDescent="0.55000000000000004">
      <c r="A726"/>
      <c r="B726"/>
      <c r="C726"/>
      <c r="D726"/>
    </row>
    <row r="727" spans="1:4" ht="18" x14ac:dyDescent="0.55000000000000004">
      <c r="A727"/>
      <c r="B727"/>
      <c r="C727"/>
      <c r="D727"/>
    </row>
    <row r="728" spans="1:4" ht="18" x14ac:dyDescent="0.55000000000000004">
      <c r="A728"/>
      <c r="B728"/>
      <c r="C728"/>
      <c r="D728"/>
    </row>
    <row r="729" spans="1:4" ht="18" x14ac:dyDescent="0.55000000000000004">
      <c r="A729"/>
      <c r="B729"/>
      <c r="C729"/>
      <c r="D729"/>
    </row>
    <row r="730" spans="1:4" ht="18" x14ac:dyDescent="0.55000000000000004">
      <c r="A730"/>
      <c r="B730"/>
      <c r="C730"/>
      <c r="D730"/>
    </row>
    <row r="731" spans="1:4" ht="18" x14ac:dyDescent="0.55000000000000004">
      <c r="A731"/>
      <c r="B731"/>
      <c r="C731"/>
      <c r="D731"/>
    </row>
    <row r="732" spans="1:4" ht="18" x14ac:dyDescent="0.55000000000000004">
      <c r="A732"/>
      <c r="B732"/>
      <c r="C732"/>
      <c r="D732"/>
    </row>
    <row r="733" spans="1:4" ht="18" x14ac:dyDescent="0.55000000000000004">
      <c r="A733"/>
      <c r="B733"/>
      <c r="C733"/>
      <c r="D733"/>
    </row>
    <row r="734" spans="1:4" ht="18" x14ac:dyDescent="0.55000000000000004">
      <c r="A734"/>
      <c r="B734"/>
      <c r="C734"/>
      <c r="D734"/>
    </row>
    <row r="735" spans="1:4" ht="18" x14ac:dyDescent="0.55000000000000004">
      <c r="A735"/>
      <c r="B735"/>
      <c r="C735"/>
      <c r="D735"/>
    </row>
    <row r="736" spans="1:4" ht="18" x14ac:dyDescent="0.55000000000000004">
      <c r="A736"/>
      <c r="B736"/>
      <c r="C736"/>
      <c r="D736"/>
    </row>
    <row r="737" spans="1:4" ht="18" x14ac:dyDescent="0.55000000000000004">
      <c r="A737"/>
      <c r="B737"/>
      <c r="C737"/>
      <c r="D737"/>
    </row>
    <row r="738" spans="1:4" ht="18" x14ac:dyDescent="0.55000000000000004">
      <c r="A738"/>
      <c r="B738"/>
      <c r="C738"/>
      <c r="D738"/>
    </row>
    <row r="739" spans="1:4" ht="18" x14ac:dyDescent="0.55000000000000004">
      <c r="A739"/>
      <c r="B739"/>
      <c r="C739"/>
      <c r="D739"/>
    </row>
    <row r="740" spans="1:4" ht="18" x14ac:dyDescent="0.55000000000000004">
      <c r="A740"/>
      <c r="B740"/>
      <c r="C740"/>
      <c r="D740"/>
    </row>
    <row r="741" spans="1:4" ht="18" x14ac:dyDescent="0.55000000000000004">
      <c r="A741"/>
      <c r="B741"/>
      <c r="C741"/>
      <c r="D741"/>
    </row>
    <row r="742" spans="1:4" ht="18" x14ac:dyDescent="0.55000000000000004">
      <c r="A742"/>
      <c r="B742"/>
      <c r="C742"/>
      <c r="D742"/>
    </row>
    <row r="743" spans="1:4" ht="18" x14ac:dyDescent="0.55000000000000004">
      <c r="A743"/>
      <c r="B743"/>
      <c r="C743"/>
      <c r="D743"/>
    </row>
    <row r="744" spans="1:4" ht="18" x14ac:dyDescent="0.55000000000000004">
      <c r="A744"/>
      <c r="B744"/>
      <c r="C744"/>
      <c r="D744"/>
    </row>
    <row r="745" spans="1:4" ht="18" x14ac:dyDescent="0.55000000000000004">
      <c r="A745"/>
      <c r="B745"/>
      <c r="C745"/>
      <c r="D745"/>
    </row>
    <row r="746" spans="1:4" ht="18" x14ac:dyDescent="0.55000000000000004">
      <c r="A746"/>
      <c r="B746"/>
      <c r="C746"/>
      <c r="D746"/>
    </row>
    <row r="747" spans="1:4" ht="18" x14ac:dyDescent="0.55000000000000004">
      <c r="A747"/>
      <c r="B747"/>
      <c r="C747"/>
      <c r="D747"/>
    </row>
    <row r="748" spans="1:4" ht="18" x14ac:dyDescent="0.55000000000000004">
      <c r="A748"/>
      <c r="B748"/>
      <c r="C748"/>
      <c r="D748"/>
    </row>
    <row r="749" spans="1:4" ht="18" x14ac:dyDescent="0.55000000000000004">
      <c r="A749"/>
      <c r="B749"/>
      <c r="C749"/>
      <c r="D749"/>
    </row>
    <row r="750" spans="1:4" ht="18" x14ac:dyDescent="0.55000000000000004">
      <c r="A750"/>
      <c r="B750"/>
      <c r="C750"/>
      <c r="D750"/>
    </row>
    <row r="751" spans="1:4" ht="18" x14ac:dyDescent="0.55000000000000004">
      <c r="A751"/>
      <c r="B751"/>
      <c r="C751"/>
      <c r="D751"/>
    </row>
    <row r="752" spans="1:4" ht="18" x14ac:dyDescent="0.55000000000000004">
      <c r="A752"/>
      <c r="B752"/>
      <c r="C752"/>
      <c r="D752"/>
    </row>
    <row r="753" spans="1:4" ht="18" x14ac:dyDescent="0.55000000000000004">
      <c r="A753"/>
      <c r="B753"/>
      <c r="C753"/>
      <c r="D753"/>
    </row>
    <row r="754" spans="1:4" ht="18" x14ac:dyDescent="0.55000000000000004">
      <c r="A754"/>
      <c r="B754"/>
      <c r="C754"/>
      <c r="D754"/>
    </row>
    <row r="755" spans="1:4" ht="18" x14ac:dyDescent="0.55000000000000004">
      <c r="A755"/>
      <c r="B755"/>
      <c r="C755"/>
      <c r="D755"/>
    </row>
    <row r="756" spans="1:4" ht="18" x14ac:dyDescent="0.55000000000000004">
      <c r="A756"/>
      <c r="B756"/>
      <c r="C756"/>
      <c r="D756"/>
    </row>
    <row r="757" spans="1:4" ht="18" x14ac:dyDescent="0.55000000000000004">
      <c r="A757"/>
      <c r="B757"/>
      <c r="C757"/>
      <c r="D757"/>
    </row>
    <row r="758" spans="1:4" ht="18" x14ac:dyDescent="0.55000000000000004">
      <c r="A758"/>
      <c r="B758"/>
      <c r="C758"/>
      <c r="D758"/>
    </row>
    <row r="759" spans="1:4" ht="18" x14ac:dyDescent="0.55000000000000004">
      <c r="A759"/>
      <c r="B759"/>
      <c r="C759"/>
      <c r="D759"/>
    </row>
    <row r="760" spans="1:4" ht="18" x14ac:dyDescent="0.55000000000000004">
      <c r="A760"/>
      <c r="B760"/>
      <c r="C760"/>
      <c r="D760"/>
    </row>
    <row r="761" spans="1:4" ht="18" x14ac:dyDescent="0.55000000000000004">
      <c r="A761"/>
      <c r="B761"/>
      <c r="C761"/>
      <c r="D761"/>
    </row>
    <row r="762" spans="1:4" ht="18" x14ac:dyDescent="0.55000000000000004">
      <c r="A762"/>
      <c r="B762"/>
      <c r="C762"/>
      <c r="D762"/>
    </row>
    <row r="763" spans="1:4" ht="18" x14ac:dyDescent="0.55000000000000004">
      <c r="A763"/>
      <c r="B763"/>
      <c r="C763"/>
      <c r="D763"/>
    </row>
    <row r="764" spans="1:4" ht="18" x14ac:dyDescent="0.55000000000000004">
      <c r="A764"/>
      <c r="B764"/>
      <c r="C764"/>
      <c r="D764"/>
    </row>
    <row r="765" spans="1:4" ht="18" x14ac:dyDescent="0.55000000000000004">
      <c r="A765"/>
      <c r="B765"/>
      <c r="C765"/>
      <c r="D765"/>
    </row>
    <row r="766" spans="1:4" ht="18" x14ac:dyDescent="0.55000000000000004">
      <c r="A766"/>
      <c r="B766"/>
      <c r="C766"/>
      <c r="D766"/>
    </row>
    <row r="767" spans="1:4" ht="18" x14ac:dyDescent="0.55000000000000004">
      <c r="A767"/>
      <c r="B767"/>
      <c r="C767"/>
      <c r="D767"/>
    </row>
    <row r="768" spans="1:4" ht="18" x14ac:dyDescent="0.55000000000000004">
      <c r="A768"/>
      <c r="B768"/>
      <c r="C768"/>
      <c r="D768"/>
    </row>
    <row r="769" spans="1:4" ht="18" x14ac:dyDescent="0.55000000000000004">
      <c r="A769"/>
      <c r="B769"/>
      <c r="C769"/>
      <c r="D769"/>
    </row>
    <row r="770" spans="1:4" ht="18" x14ac:dyDescent="0.55000000000000004">
      <c r="A770"/>
      <c r="B770"/>
      <c r="C770"/>
      <c r="D770"/>
    </row>
    <row r="771" spans="1:4" ht="18" x14ac:dyDescent="0.55000000000000004">
      <c r="A771"/>
      <c r="B771"/>
      <c r="C771"/>
      <c r="D771"/>
    </row>
    <row r="772" spans="1:4" ht="18" x14ac:dyDescent="0.55000000000000004">
      <c r="A772"/>
      <c r="B772"/>
      <c r="C772"/>
      <c r="D772"/>
    </row>
    <row r="773" spans="1:4" ht="18" x14ac:dyDescent="0.55000000000000004">
      <c r="A773"/>
      <c r="B773"/>
      <c r="C773"/>
      <c r="D773"/>
    </row>
    <row r="774" spans="1:4" ht="18" x14ac:dyDescent="0.55000000000000004">
      <c r="A774"/>
      <c r="B774"/>
      <c r="C774"/>
      <c r="D774"/>
    </row>
    <row r="775" spans="1:4" ht="18" x14ac:dyDescent="0.55000000000000004">
      <c r="A775"/>
      <c r="B775"/>
      <c r="C775"/>
      <c r="D775"/>
    </row>
    <row r="776" spans="1:4" ht="18" x14ac:dyDescent="0.55000000000000004">
      <c r="A776"/>
      <c r="B776"/>
      <c r="C776"/>
      <c r="D776"/>
    </row>
    <row r="777" spans="1:4" ht="18" x14ac:dyDescent="0.55000000000000004">
      <c r="A777"/>
      <c r="B777"/>
      <c r="C777"/>
      <c r="D777"/>
    </row>
    <row r="778" spans="1:4" ht="18" x14ac:dyDescent="0.55000000000000004">
      <c r="A778"/>
      <c r="B778"/>
      <c r="C778"/>
      <c r="D778"/>
    </row>
    <row r="779" spans="1:4" ht="18" x14ac:dyDescent="0.55000000000000004">
      <c r="A779"/>
      <c r="B779"/>
      <c r="C779"/>
      <c r="D779"/>
    </row>
    <row r="780" spans="1:4" ht="18" x14ac:dyDescent="0.55000000000000004">
      <c r="A780"/>
      <c r="B780"/>
      <c r="C780"/>
      <c r="D780"/>
    </row>
    <row r="781" spans="1:4" ht="18" x14ac:dyDescent="0.55000000000000004">
      <c r="A781"/>
      <c r="B781"/>
      <c r="C781"/>
      <c r="D781"/>
    </row>
    <row r="782" spans="1:4" ht="18" x14ac:dyDescent="0.55000000000000004">
      <c r="A782"/>
      <c r="B782"/>
      <c r="C782"/>
      <c r="D782"/>
    </row>
    <row r="783" spans="1:4" ht="18" x14ac:dyDescent="0.55000000000000004">
      <c r="A783"/>
      <c r="B783"/>
      <c r="C783"/>
      <c r="D783"/>
    </row>
    <row r="784" spans="1:4" ht="18" x14ac:dyDescent="0.55000000000000004">
      <c r="A784"/>
      <c r="B784"/>
      <c r="C784"/>
      <c r="D784"/>
    </row>
    <row r="785" spans="1:4" ht="18" x14ac:dyDescent="0.55000000000000004">
      <c r="A785"/>
      <c r="B785"/>
      <c r="C785"/>
      <c r="D785"/>
    </row>
    <row r="786" spans="1:4" ht="18" x14ac:dyDescent="0.55000000000000004">
      <c r="A786"/>
      <c r="B786"/>
      <c r="C786"/>
      <c r="D786"/>
    </row>
    <row r="787" spans="1:4" ht="18" x14ac:dyDescent="0.55000000000000004">
      <c r="A787"/>
      <c r="B787"/>
      <c r="C787"/>
      <c r="D787"/>
    </row>
    <row r="788" spans="1:4" ht="18" x14ac:dyDescent="0.55000000000000004">
      <c r="A788"/>
      <c r="B788"/>
      <c r="C788"/>
      <c r="D788"/>
    </row>
    <row r="789" spans="1:4" ht="18" x14ac:dyDescent="0.55000000000000004">
      <c r="A789"/>
      <c r="B789"/>
      <c r="C789"/>
      <c r="D789"/>
    </row>
    <row r="790" spans="1:4" ht="18" x14ac:dyDescent="0.55000000000000004">
      <c r="A790"/>
      <c r="B790"/>
      <c r="C790"/>
      <c r="D790"/>
    </row>
    <row r="791" spans="1:4" ht="18" x14ac:dyDescent="0.55000000000000004">
      <c r="A791"/>
      <c r="B791"/>
      <c r="C791"/>
      <c r="D791"/>
    </row>
    <row r="792" spans="1:4" ht="18" x14ac:dyDescent="0.55000000000000004">
      <c r="A792"/>
      <c r="B792"/>
      <c r="C792"/>
      <c r="D792"/>
    </row>
    <row r="793" spans="1:4" ht="18" x14ac:dyDescent="0.55000000000000004">
      <c r="A793"/>
      <c r="B793"/>
      <c r="C793"/>
      <c r="D793"/>
    </row>
    <row r="794" spans="1:4" ht="18" x14ac:dyDescent="0.55000000000000004">
      <c r="A794"/>
      <c r="B794"/>
      <c r="C794"/>
      <c r="D794"/>
    </row>
    <row r="795" spans="1:4" ht="18" x14ac:dyDescent="0.55000000000000004">
      <c r="A795"/>
      <c r="B795"/>
      <c r="C795"/>
      <c r="D795"/>
    </row>
    <row r="796" spans="1:4" ht="18" x14ac:dyDescent="0.55000000000000004">
      <c r="A796"/>
      <c r="B796"/>
      <c r="C796"/>
      <c r="D796"/>
    </row>
    <row r="797" spans="1:4" ht="18" x14ac:dyDescent="0.55000000000000004">
      <c r="A797"/>
      <c r="B797"/>
      <c r="C797"/>
      <c r="D797"/>
    </row>
    <row r="798" spans="1:4" ht="18" x14ac:dyDescent="0.55000000000000004">
      <c r="A798"/>
      <c r="B798"/>
      <c r="C798"/>
      <c r="D798"/>
    </row>
    <row r="799" spans="1:4" ht="18" x14ac:dyDescent="0.55000000000000004">
      <c r="A799"/>
      <c r="B799"/>
      <c r="C799"/>
      <c r="D799"/>
    </row>
    <row r="800" spans="1:4" ht="18" x14ac:dyDescent="0.55000000000000004">
      <c r="A800"/>
      <c r="B800"/>
      <c r="C800"/>
      <c r="D800"/>
    </row>
    <row r="801" spans="1:4" ht="18" x14ac:dyDescent="0.55000000000000004">
      <c r="A801"/>
      <c r="B801"/>
      <c r="C801"/>
      <c r="D801"/>
    </row>
    <row r="802" spans="1:4" ht="18" x14ac:dyDescent="0.55000000000000004">
      <c r="A802"/>
      <c r="B802"/>
      <c r="C802"/>
      <c r="D802"/>
    </row>
    <row r="803" spans="1:4" ht="18" x14ac:dyDescent="0.55000000000000004">
      <c r="A803"/>
      <c r="B803"/>
      <c r="C803"/>
      <c r="D803"/>
    </row>
    <row r="804" spans="1:4" ht="18" x14ac:dyDescent="0.55000000000000004">
      <c r="A804"/>
      <c r="B804"/>
      <c r="C804"/>
      <c r="D804"/>
    </row>
    <row r="805" spans="1:4" ht="18" x14ac:dyDescent="0.55000000000000004">
      <c r="A805"/>
      <c r="B805"/>
      <c r="C805"/>
      <c r="D805"/>
    </row>
    <row r="806" spans="1:4" ht="18" x14ac:dyDescent="0.55000000000000004">
      <c r="A806"/>
      <c r="B806"/>
      <c r="C806"/>
      <c r="D806"/>
    </row>
    <row r="807" spans="1:4" ht="18" x14ac:dyDescent="0.55000000000000004">
      <c r="A807"/>
      <c r="B807"/>
      <c r="C807"/>
      <c r="D807"/>
    </row>
    <row r="808" spans="1:4" ht="18" x14ac:dyDescent="0.55000000000000004">
      <c r="A808"/>
      <c r="B808"/>
      <c r="C808"/>
      <c r="D808"/>
    </row>
    <row r="809" spans="1:4" ht="18" x14ac:dyDescent="0.55000000000000004">
      <c r="A809"/>
      <c r="B809"/>
      <c r="C809"/>
      <c r="D809"/>
    </row>
    <row r="810" spans="1:4" ht="18" x14ac:dyDescent="0.55000000000000004">
      <c r="A810"/>
      <c r="B810"/>
      <c r="C810"/>
      <c r="D810"/>
    </row>
    <row r="811" spans="1:4" ht="18" x14ac:dyDescent="0.55000000000000004">
      <c r="A811"/>
      <c r="B811"/>
      <c r="C811"/>
      <c r="D811"/>
    </row>
    <row r="812" spans="1:4" ht="18" x14ac:dyDescent="0.55000000000000004">
      <c r="A812"/>
      <c r="B812"/>
      <c r="C812"/>
      <c r="D812"/>
    </row>
    <row r="813" spans="1:4" ht="18" x14ac:dyDescent="0.55000000000000004">
      <c r="A813"/>
      <c r="B813"/>
      <c r="C813"/>
      <c r="D813"/>
    </row>
    <row r="814" spans="1:4" ht="18" x14ac:dyDescent="0.55000000000000004">
      <c r="A814"/>
      <c r="B814"/>
      <c r="C814"/>
      <c r="D814"/>
    </row>
    <row r="815" spans="1:4" ht="18" x14ac:dyDescent="0.55000000000000004">
      <c r="A815"/>
      <c r="B815"/>
      <c r="C815"/>
      <c r="D815"/>
    </row>
    <row r="816" spans="1:4" ht="18" x14ac:dyDescent="0.55000000000000004">
      <c r="A816"/>
      <c r="B816"/>
      <c r="C816"/>
      <c r="D816"/>
    </row>
    <row r="817" spans="1:4" ht="18" x14ac:dyDescent="0.55000000000000004">
      <c r="A817"/>
      <c r="B817"/>
      <c r="C817"/>
      <c r="D817"/>
    </row>
    <row r="818" spans="1:4" ht="18" x14ac:dyDescent="0.55000000000000004">
      <c r="A818"/>
      <c r="B818"/>
      <c r="C818"/>
      <c r="D818"/>
    </row>
    <row r="819" spans="1:4" ht="18" x14ac:dyDescent="0.55000000000000004">
      <c r="A819"/>
      <c r="B819"/>
      <c r="C819"/>
      <c r="D819"/>
    </row>
    <row r="820" spans="1:4" ht="18" x14ac:dyDescent="0.55000000000000004">
      <c r="A820"/>
      <c r="B820"/>
      <c r="C820"/>
      <c r="D820"/>
    </row>
    <row r="821" spans="1:4" ht="18" x14ac:dyDescent="0.55000000000000004">
      <c r="A821"/>
      <c r="B821"/>
      <c r="C821"/>
      <c r="D821"/>
    </row>
    <row r="822" spans="1:4" ht="18" x14ac:dyDescent="0.55000000000000004">
      <c r="A822"/>
      <c r="B822"/>
      <c r="C822"/>
      <c r="D822"/>
    </row>
    <row r="823" spans="1:4" ht="18" x14ac:dyDescent="0.55000000000000004">
      <c r="A823"/>
      <c r="B823"/>
      <c r="C823"/>
      <c r="D823"/>
    </row>
    <row r="824" spans="1:4" ht="18" x14ac:dyDescent="0.55000000000000004">
      <c r="A824"/>
      <c r="B824"/>
      <c r="C824"/>
      <c r="D824"/>
    </row>
    <row r="825" spans="1:4" ht="18" x14ac:dyDescent="0.55000000000000004">
      <c r="A825"/>
      <c r="B825"/>
      <c r="C825"/>
      <c r="D825"/>
    </row>
    <row r="826" spans="1:4" ht="18" x14ac:dyDescent="0.55000000000000004">
      <c r="A826"/>
      <c r="B826"/>
      <c r="C826"/>
      <c r="D826"/>
    </row>
    <row r="827" spans="1:4" ht="18" x14ac:dyDescent="0.55000000000000004">
      <c r="A827"/>
      <c r="B827"/>
      <c r="C827"/>
      <c r="D827"/>
    </row>
    <row r="828" spans="1:4" ht="18" x14ac:dyDescent="0.55000000000000004">
      <c r="A828"/>
      <c r="B828"/>
      <c r="C828"/>
      <c r="D828"/>
    </row>
    <row r="829" spans="1:4" ht="18" x14ac:dyDescent="0.55000000000000004">
      <c r="A829"/>
      <c r="B829"/>
      <c r="C829"/>
      <c r="D829"/>
    </row>
    <row r="830" spans="1:4" ht="18" x14ac:dyDescent="0.55000000000000004">
      <c r="A830"/>
      <c r="B830"/>
      <c r="C830"/>
      <c r="D830"/>
    </row>
    <row r="831" spans="1:4" ht="18" x14ac:dyDescent="0.55000000000000004">
      <c r="A831"/>
      <c r="B831"/>
      <c r="C831"/>
      <c r="D831"/>
    </row>
    <row r="832" spans="1:4" ht="18" x14ac:dyDescent="0.55000000000000004">
      <c r="A832"/>
      <c r="B832"/>
      <c r="C832"/>
      <c r="D832"/>
    </row>
    <row r="833" spans="1:4" ht="18" x14ac:dyDescent="0.55000000000000004">
      <c r="A833"/>
      <c r="B833"/>
      <c r="C833"/>
      <c r="D833"/>
    </row>
    <row r="834" spans="1:4" ht="18" x14ac:dyDescent="0.55000000000000004">
      <c r="A834"/>
      <c r="B834"/>
      <c r="C834"/>
      <c r="D834"/>
    </row>
    <row r="835" spans="1:4" ht="18" x14ac:dyDescent="0.55000000000000004">
      <c r="A835"/>
      <c r="B835"/>
      <c r="C835"/>
      <c r="D835"/>
    </row>
    <row r="836" spans="1:4" ht="18" x14ac:dyDescent="0.55000000000000004">
      <c r="A836"/>
      <c r="B836"/>
      <c r="C836"/>
      <c r="D836"/>
    </row>
    <row r="837" spans="1:4" ht="18" x14ac:dyDescent="0.55000000000000004">
      <c r="A837"/>
      <c r="B837"/>
      <c r="C837"/>
      <c r="D837"/>
    </row>
    <row r="838" spans="1:4" ht="18" x14ac:dyDescent="0.55000000000000004">
      <c r="A838"/>
      <c r="B838"/>
      <c r="C838"/>
      <c r="D838"/>
    </row>
    <row r="839" spans="1:4" ht="18" x14ac:dyDescent="0.55000000000000004">
      <c r="A839"/>
      <c r="B839"/>
      <c r="C839"/>
      <c r="D839"/>
    </row>
    <row r="840" spans="1:4" ht="18" x14ac:dyDescent="0.55000000000000004">
      <c r="A840"/>
      <c r="B840"/>
      <c r="C840"/>
      <c r="D840"/>
    </row>
    <row r="841" spans="1:4" ht="18" x14ac:dyDescent="0.55000000000000004">
      <c r="A841"/>
      <c r="B841"/>
      <c r="C841"/>
      <c r="D841"/>
    </row>
    <row r="842" spans="1:4" ht="18" x14ac:dyDescent="0.55000000000000004">
      <c r="A842"/>
      <c r="B842"/>
      <c r="C842"/>
      <c r="D842"/>
    </row>
    <row r="843" spans="1:4" ht="18" x14ac:dyDescent="0.55000000000000004">
      <c r="A843"/>
      <c r="B843"/>
      <c r="C843"/>
      <c r="D843"/>
    </row>
    <row r="844" spans="1:4" ht="18" x14ac:dyDescent="0.55000000000000004">
      <c r="A844"/>
      <c r="B844"/>
      <c r="C844"/>
      <c r="D844"/>
    </row>
    <row r="845" spans="1:4" ht="18" x14ac:dyDescent="0.55000000000000004">
      <c r="A845"/>
      <c r="B845"/>
      <c r="C845"/>
      <c r="D845"/>
    </row>
    <row r="846" spans="1:4" ht="18" x14ac:dyDescent="0.55000000000000004">
      <c r="A846"/>
      <c r="B846"/>
      <c r="C846"/>
      <c r="D846"/>
    </row>
    <row r="847" spans="1:4" ht="18" x14ac:dyDescent="0.55000000000000004">
      <c r="A847"/>
      <c r="B847"/>
      <c r="C847"/>
      <c r="D847"/>
    </row>
    <row r="848" spans="1:4" ht="18" x14ac:dyDescent="0.55000000000000004">
      <c r="A848"/>
      <c r="B848"/>
      <c r="C848"/>
      <c r="D848"/>
    </row>
    <row r="849" spans="1:4" ht="18" x14ac:dyDescent="0.55000000000000004">
      <c r="A849"/>
      <c r="B849"/>
      <c r="C849"/>
      <c r="D849"/>
    </row>
    <row r="850" spans="1:4" ht="18" x14ac:dyDescent="0.55000000000000004">
      <c r="A850"/>
      <c r="B850"/>
      <c r="C850"/>
      <c r="D850"/>
    </row>
    <row r="851" spans="1:4" ht="18" x14ac:dyDescent="0.55000000000000004">
      <c r="A851"/>
      <c r="B851"/>
      <c r="C851"/>
      <c r="D851"/>
    </row>
    <row r="852" spans="1:4" ht="18" x14ac:dyDescent="0.55000000000000004">
      <c r="A852"/>
      <c r="B852"/>
      <c r="C852"/>
      <c r="D852"/>
    </row>
    <row r="853" spans="1:4" ht="18" x14ac:dyDescent="0.55000000000000004">
      <c r="A853"/>
      <c r="B853"/>
      <c r="C853"/>
      <c r="D853"/>
    </row>
    <row r="854" spans="1:4" ht="18" x14ac:dyDescent="0.55000000000000004">
      <c r="A854"/>
      <c r="B854"/>
      <c r="C854"/>
      <c r="D854"/>
    </row>
    <row r="855" spans="1:4" ht="18" x14ac:dyDescent="0.55000000000000004">
      <c r="A855"/>
      <c r="B855"/>
      <c r="C855"/>
      <c r="D855"/>
    </row>
    <row r="856" spans="1:4" ht="18" x14ac:dyDescent="0.55000000000000004">
      <c r="A856"/>
      <c r="B856"/>
      <c r="C856"/>
      <c r="D856"/>
    </row>
    <row r="857" spans="1:4" ht="18" x14ac:dyDescent="0.55000000000000004">
      <c r="A857"/>
      <c r="B857"/>
      <c r="C857"/>
      <c r="D857"/>
    </row>
    <row r="858" spans="1:4" ht="18" x14ac:dyDescent="0.55000000000000004">
      <c r="A858"/>
      <c r="B858"/>
      <c r="C858"/>
      <c r="D858"/>
    </row>
    <row r="859" spans="1:4" ht="18" x14ac:dyDescent="0.55000000000000004">
      <c r="A859"/>
      <c r="B859"/>
      <c r="C859"/>
      <c r="D859"/>
    </row>
    <row r="860" spans="1:4" ht="18" x14ac:dyDescent="0.55000000000000004">
      <c r="A860"/>
      <c r="B860"/>
      <c r="C860"/>
      <c r="D860"/>
    </row>
    <row r="861" spans="1:4" ht="18" x14ac:dyDescent="0.55000000000000004">
      <c r="A861"/>
      <c r="B861"/>
      <c r="C861"/>
      <c r="D861"/>
    </row>
    <row r="862" spans="1:4" ht="18" x14ac:dyDescent="0.55000000000000004">
      <c r="A862"/>
      <c r="B862"/>
      <c r="C862"/>
      <c r="D862"/>
    </row>
    <row r="863" spans="1:4" ht="18" x14ac:dyDescent="0.55000000000000004">
      <c r="A863"/>
      <c r="B863"/>
      <c r="C863"/>
      <c r="D863"/>
    </row>
    <row r="864" spans="1:4" ht="18" x14ac:dyDescent="0.55000000000000004">
      <c r="A864"/>
      <c r="B864"/>
      <c r="C864"/>
      <c r="D864"/>
    </row>
    <row r="865" spans="1:4" ht="18" x14ac:dyDescent="0.55000000000000004">
      <c r="A865"/>
      <c r="B865"/>
      <c r="C865"/>
      <c r="D865"/>
    </row>
    <row r="866" spans="1:4" ht="18" x14ac:dyDescent="0.55000000000000004">
      <c r="A866"/>
      <c r="B866"/>
      <c r="C866"/>
      <c r="D866"/>
    </row>
    <row r="867" spans="1:4" ht="18" x14ac:dyDescent="0.55000000000000004">
      <c r="A867"/>
      <c r="B867"/>
      <c r="C867"/>
      <c r="D867"/>
    </row>
    <row r="868" spans="1:4" ht="18" x14ac:dyDescent="0.55000000000000004">
      <c r="A868"/>
      <c r="B868"/>
      <c r="C868"/>
      <c r="D868"/>
    </row>
    <row r="869" spans="1:4" ht="18" x14ac:dyDescent="0.55000000000000004">
      <c r="A869"/>
      <c r="B869"/>
      <c r="C869"/>
      <c r="D869"/>
    </row>
    <row r="870" spans="1:4" ht="18" x14ac:dyDescent="0.55000000000000004">
      <c r="A870"/>
      <c r="B870"/>
      <c r="C870"/>
      <c r="D870"/>
    </row>
    <row r="871" spans="1:4" ht="18" x14ac:dyDescent="0.55000000000000004">
      <c r="A871"/>
      <c r="B871"/>
      <c r="C871"/>
      <c r="D871"/>
    </row>
    <row r="872" spans="1:4" ht="18" x14ac:dyDescent="0.55000000000000004">
      <c r="A872"/>
      <c r="B872"/>
      <c r="C872"/>
      <c r="D872"/>
    </row>
    <row r="873" spans="1:4" ht="18" x14ac:dyDescent="0.55000000000000004">
      <c r="A873"/>
      <c r="B873"/>
      <c r="C873"/>
      <c r="D873"/>
    </row>
    <row r="874" spans="1:4" ht="18" x14ac:dyDescent="0.55000000000000004">
      <c r="A874"/>
      <c r="B874"/>
      <c r="C874"/>
      <c r="D874"/>
    </row>
    <row r="875" spans="1:4" ht="18" x14ac:dyDescent="0.55000000000000004">
      <c r="A875"/>
      <c r="B875"/>
      <c r="C875"/>
      <c r="D875"/>
    </row>
    <row r="876" spans="1:4" ht="18" x14ac:dyDescent="0.55000000000000004">
      <c r="A876"/>
      <c r="B876"/>
      <c r="C876"/>
      <c r="D876"/>
    </row>
    <row r="877" spans="1:4" ht="18" x14ac:dyDescent="0.55000000000000004">
      <c r="A877"/>
      <c r="B877"/>
      <c r="C877"/>
      <c r="D877"/>
    </row>
    <row r="878" spans="1:4" ht="18" x14ac:dyDescent="0.55000000000000004">
      <c r="A878"/>
      <c r="B878"/>
      <c r="C878"/>
      <c r="D878"/>
    </row>
    <row r="879" spans="1:4" ht="18" x14ac:dyDescent="0.55000000000000004">
      <c r="A879"/>
      <c r="B879"/>
      <c r="C879"/>
      <c r="D879"/>
    </row>
    <row r="880" spans="1:4" ht="18" x14ac:dyDescent="0.55000000000000004">
      <c r="A880"/>
      <c r="B880"/>
      <c r="C880"/>
      <c r="D880"/>
    </row>
    <row r="881" spans="1:4" ht="18" x14ac:dyDescent="0.55000000000000004">
      <c r="A881"/>
      <c r="B881"/>
      <c r="C881"/>
      <c r="D881"/>
    </row>
    <row r="882" spans="1:4" ht="18" x14ac:dyDescent="0.55000000000000004">
      <c r="A882"/>
      <c r="B882"/>
      <c r="C882"/>
      <c r="D882"/>
    </row>
    <row r="883" spans="1:4" ht="18" x14ac:dyDescent="0.55000000000000004">
      <c r="A883"/>
      <c r="B883"/>
      <c r="C883"/>
      <c r="D883"/>
    </row>
    <row r="884" spans="1:4" ht="18" x14ac:dyDescent="0.55000000000000004">
      <c r="A884"/>
      <c r="B884"/>
      <c r="C884"/>
      <c r="D884"/>
    </row>
    <row r="885" spans="1:4" ht="18" x14ac:dyDescent="0.55000000000000004">
      <c r="A885"/>
      <c r="B885"/>
      <c r="C885"/>
      <c r="D885"/>
    </row>
    <row r="886" spans="1:4" ht="18" x14ac:dyDescent="0.55000000000000004">
      <c r="A886"/>
      <c r="B886"/>
      <c r="C886"/>
      <c r="D886"/>
    </row>
    <row r="887" spans="1:4" ht="18" x14ac:dyDescent="0.55000000000000004">
      <c r="A887"/>
      <c r="B887"/>
      <c r="C887"/>
      <c r="D887"/>
    </row>
    <row r="888" spans="1:4" ht="18" x14ac:dyDescent="0.55000000000000004">
      <c r="A888"/>
      <c r="B888"/>
      <c r="C888"/>
      <c r="D888"/>
    </row>
    <row r="889" spans="1:4" ht="18" x14ac:dyDescent="0.55000000000000004">
      <c r="A889"/>
      <c r="B889"/>
      <c r="C889"/>
      <c r="D889"/>
    </row>
    <row r="890" spans="1:4" ht="18" x14ac:dyDescent="0.55000000000000004">
      <c r="A890"/>
      <c r="B890"/>
      <c r="C890"/>
      <c r="D890"/>
    </row>
  </sheetData>
  <phoneticPr fontId="1"/>
  <conditionalFormatting sqref="A2:A14">
    <cfRule type="expression" dxfId="6" priority="1" stopIfTrue="1">
      <formula>AND(A2&lt;&gt;"",ISNA(MATCH(A2,区分値リスト,0)))</formula>
    </cfRule>
  </conditionalFormatting>
  <conditionalFormatting sqref="B2:D14">
    <cfRule type="expression" dxfId="5" priority="2" stopIfTrue="1">
      <formula>AND($A2&lt;&gt;"",B2="")</formula>
    </cfRule>
  </conditionalFormatting>
  <conditionalFormatting sqref="A15:A44">
    <cfRule type="expression" dxfId="4" priority="3" stopIfTrue="1">
      <formula>AND(A15&lt;&gt;"",ISNA(MATCH(A15,区分値リスト,0)))</formula>
    </cfRule>
  </conditionalFormatting>
  <conditionalFormatting sqref="B15:D44">
    <cfRule type="expression" dxfId="3" priority="4" stopIfTrue="1">
      <formula>AND($A15&lt;&gt;"",B15="")</formula>
    </cfRule>
  </conditionalFormatting>
  <dataValidations count="6">
    <dataValidation imeMode="on" allowBlank="1" showInputMessage="1" showErrorMessage="1" sqref="D1 A1:B1" xr:uid="{C5AAAFF2-DD94-4110-B09E-5AAB7B674F1C}"/>
    <dataValidation type="list" allowBlank="1" showInputMessage="1" showErrorMessage="1" sqref="A2:A14 A15:A44" xr:uid="{6023A3D2-5A66-44B7-90D4-13F3190857F7}">
      <formula1>区分値リスト</formula1>
    </dataValidation>
    <dataValidation imeMode="on" allowBlank="1" showInputMessage="1" showErrorMessage="1" sqref="C2:D14" xr:uid="{91A7E2B4-2D11-4727-8C97-0141E4504AF1}"/>
    <dataValidation imeMode="off" allowBlank="1" showInputMessage="1" showErrorMessage="1" sqref="B2:B14" xr:uid="{05A08389-9D84-4248-B041-888593DED009}"/>
    <dataValidation imeMode="on" allowBlank="1" showInputMessage="1" showErrorMessage="1" sqref="C15:D44" xr:uid="{D57E5A35-0035-4904-9B20-66713A460043}"/>
    <dataValidation imeMode="off" allowBlank="1" showInputMessage="1" showErrorMessage="1" sqref="B15:B44" xr:uid="{69C06640-0E82-4C02-97AA-0BF02384D663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2" activePane="bottomLeft" state="frozen"/>
      <selection pane="bottomLeft" activeCell="F2" sqref="F2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61</v>
      </c>
      <c r="H1" s="16" t="s">
        <v>1</v>
      </c>
      <c r="I1" s="16" t="s">
        <v>2</v>
      </c>
      <c r="J1" s="16" t="s">
        <v>3</v>
      </c>
      <c r="K1" s="15" t="s">
        <v>74</v>
      </c>
      <c r="L1" s="15" t="s">
        <v>62</v>
      </c>
      <c r="M1" s="16" t="s">
        <v>6</v>
      </c>
      <c r="N1" s="17" t="s">
        <v>11</v>
      </c>
    </row>
    <row r="2" spans="1:14" ht="45" x14ac:dyDescent="0.55000000000000004">
      <c r="A2" s="2" t="s">
        <v>8</v>
      </c>
      <c r="B2" s="2" t="s">
        <v>8</v>
      </c>
      <c r="C2" s="2" t="s">
        <v>36</v>
      </c>
      <c r="D2" s="2" t="s">
        <v>25</v>
      </c>
      <c r="E2" s="2" t="s">
        <v>36</v>
      </c>
      <c r="F2" s="2" t="s">
        <v>38</v>
      </c>
      <c r="G2" s="2" t="s">
        <v>36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65</v>
      </c>
      <c r="N2" s="2" t="s">
        <v>17</v>
      </c>
    </row>
    <row r="3" spans="1:14" ht="45" x14ac:dyDescent="0.55000000000000004">
      <c r="A3" s="5" t="s">
        <v>220</v>
      </c>
      <c r="B3" s="5" t="s">
        <v>25</v>
      </c>
      <c r="C3" s="5" t="s">
        <v>32</v>
      </c>
      <c r="D3" s="5" t="s">
        <v>25</v>
      </c>
      <c r="E3" s="5" t="s">
        <v>39</v>
      </c>
      <c r="F3" s="5" t="s">
        <v>38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64</v>
      </c>
      <c r="N3" s="5" t="s">
        <v>16</v>
      </c>
    </row>
    <row r="4" spans="1:14" ht="45" x14ac:dyDescent="0.55000000000000004">
      <c r="A4" s="5" t="s">
        <v>7</v>
      </c>
      <c r="B4" s="5" t="s">
        <v>26</v>
      </c>
      <c r="C4" s="5" t="s">
        <v>31</v>
      </c>
      <c r="D4" s="5" t="s">
        <v>40</v>
      </c>
      <c r="E4" s="5" t="s">
        <v>41</v>
      </c>
      <c r="F4" s="5" t="s">
        <v>42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63</v>
      </c>
      <c r="N4" s="5" t="s">
        <v>15</v>
      </c>
    </row>
    <row r="5" spans="1:14" ht="30" x14ac:dyDescent="0.55000000000000004">
      <c r="A5" s="5" t="s">
        <v>9</v>
      </c>
      <c r="B5" s="5" t="s">
        <v>27</v>
      </c>
      <c r="C5" s="5" t="s">
        <v>37</v>
      </c>
      <c r="D5" s="5" t="s">
        <v>25</v>
      </c>
      <c r="E5" s="5" t="s">
        <v>39</v>
      </c>
      <c r="F5" s="5" t="s">
        <v>38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66</v>
      </c>
      <c r="N5" s="5" t="s">
        <v>13</v>
      </c>
    </row>
    <row r="6" spans="1:14" ht="45" x14ac:dyDescent="0.55000000000000004">
      <c r="A6" s="5" t="s">
        <v>10</v>
      </c>
      <c r="B6" s="5" t="s">
        <v>25</v>
      </c>
      <c r="C6" s="5" t="s">
        <v>32</v>
      </c>
      <c r="D6" s="5" t="s">
        <v>25</v>
      </c>
      <c r="E6" s="5" t="s">
        <v>39</v>
      </c>
      <c r="F6" s="5" t="s">
        <v>38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67</v>
      </c>
      <c r="N6" s="5" t="s">
        <v>12</v>
      </c>
    </row>
    <row r="7" spans="1:14" ht="45" x14ac:dyDescent="0.55000000000000004">
      <c r="A7" s="5" t="s">
        <v>14</v>
      </c>
      <c r="B7" s="5" t="s">
        <v>28</v>
      </c>
      <c r="C7" s="5" t="s">
        <v>34</v>
      </c>
      <c r="D7" s="5" t="s">
        <v>28</v>
      </c>
      <c r="E7" s="5" t="s">
        <v>52</v>
      </c>
      <c r="F7" s="5" t="s">
        <v>52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68</v>
      </c>
      <c r="N7" s="35" t="s">
        <v>122</v>
      </c>
    </row>
    <row r="8" spans="1:14" x14ac:dyDescent="0.55000000000000004">
      <c r="A8" s="5" t="s">
        <v>19</v>
      </c>
      <c r="B8" s="5" t="s">
        <v>29</v>
      </c>
      <c r="C8" s="5" t="s">
        <v>35</v>
      </c>
      <c r="D8" s="5" t="s">
        <v>25</v>
      </c>
      <c r="E8" s="5" t="s">
        <v>50</v>
      </c>
      <c r="F8" s="5" t="s">
        <v>38</v>
      </c>
      <c r="G8" s="5" t="s">
        <v>225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43</v>
      </c>
      <c r="N8" s="5" t="s">
        <v>54</v>
      </c>
    </row>
    <row r="9" spans="1:14" x14ac:dyDescent="0.55000000000000004">
      <c r="A9" s="5" t="s">
        <v>18</v>
      </c>
      <c r="B9" s="5" t="s">
        <v>29</v>
      </c>
      <c r="C9" s="5" t="s">
        <v>35</v>
      </c>
      <c r="D9" s="5" t="s">
        <v>25</v>
      </c>
      <c r="E9" s="5" t="s">
        <v>51</v>
      </c>
      <c r="F9" s="5" t="s">
        <v>38</v>
      </c>
      <c r="G9" s="5" t="s">
        <v>51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43</v>
      </c>
      <c r="N9" s="5" t="s">
        <v>55</v>
      </c>
    </row>
    <row r="10" spans="1:14" x14ac:dyDescent="0.55000000000000004">
      <c r="A10" s="5" t="s">
        <v>20</v>
      </c>
      <c r="B10" s="5" t="s">
        <v>29</v>
      </c>
      <c r="C10" s="5" t="s">
        <v>35</v>
      </c>
      <c r="D10" s="5" t="s">
        <v>25</v>
      </c>
      <c r="E10" s="5" t="s">
        <v>39</v>
      </c>
      <c r="F10" s="5" t="s">
        <v>38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43</v>
      </c>
      <c r="N10" s="5" t="s">
        <v>56</v>
      </c>
    </row>
    <row r="11" spans="1:14" x14ac:dyDescent="0.55000000000000004">
      <c r="A11" s="5" t="s">
        <v>21</v>
      </c>
      <c r="B11" s="5" t="s">
        <v>26</v>
      </c>
      <c r="C11" s="5" t="s">
        <v>31</v>
      </c>
      <c r="D11" s="5" t="s">
        <v>40</v>
      </c>
      <c r="E11" s="5" t="s">
        <v>42</v>
      </c>
      <c r="F11" s="5" t="s">
        <v>42</v>
      </c>
      <c r="G11" s="5"/>
      <c r="H11" s="6">
        <v>-1</v>
      </c>
      <c r="I11" s="6">
        <v>-1</v>
      </c>
      <c r="J11" s="6">
        <v>-1</v>
      </c>
      <c r="K11" s="6">
        <v>0</v>
      </c>
      <c r="L11" s="7"/>
      <c r="M11" s="12" t="s">
        <v>44</v>
      </c>
      <c r="N11" s="5"/>
    </row>
    <row r="12" spans="1:14" x14ac:dyDescent="0.55000000000000004">
      <c r="A12" s="5" t="s">
        <v>22</v>
      </c>
      <c r="B12" s="5" t="s">
        <v>30</v>
      </c>
      <c r="C12" s="5" t="s">
        <v>33</v>
      </c>
      <c r="D12" s="5" t="s">
        <v>40</v>
      </c>
      <c r="E12" s="5" t="s">
        <v>49</v>
      </c>
      <c r="F12" s="5" t="s">
        <v>53</v>
      </c>
      <c r="G12" s="5"/>
      <c r="H12" s="6">
        <v>-1</v>
      </c>
      <c r="I12" s="6">
        <v>-1</v>
      </c>
      <c r="J12" s="6">
        <v>-1</v>
      </c>
      <c r="K12" s="6">
        <v>0</v>
      </c>
      <c r="L12" s="7"/>
      <c r="M12" s="12" t="s">
        <v>45</v>
      </c>
      <c r="N12" s="5"/>
    </row>
    <row r="13" spans="1:14" x14ac:dyDescent="0.55000000000000004">
      <c r="A13" s="5" t="s">
        <v>23</v>
      </c>
      <c r="B13" s="5" t="s">
        <v>25</v>
      </c>
      <c r="C13" s="5" t="s">
        <v>32</v>
      </c>
      <c r="D13" s="5" t="s">
        <v>25</v>
      </c>
      <c r="E13" s="5" t="s">
        <v>39</v>
      </c>
      <c r="F13" s="5" t="s">
        <v>38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46</v>
      </c>
      <c r="N13" s="5"/>
    </row>
    <row r="14" spans="1:14" x14ac:dyDescent="0.55000000000000004">
      <c r="A14" s="8" t="s">
        <v>24</v>
      </c>
      <c r="B14" s="8" t="s">
        <v>25</v>
      </c>
      <c r="C14" s="8" t="s">
        <v>32</v>
      </c>
      <c r="D14" s="8" t="s">
        <v>25</v>
      </c>
      <c r="E14" s="8" t="s">
        <v>48</v>
      </c>
      <c r="F14" s="8" t="s">
        <v>38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47</v>
      </c>
      <c r="N14" s="8"/>
    </row>
  </sheetData>
  <phoneticPr fontId="1"/>
  <conditionalFormatting sqref="H2:K14">
    <cfRule type="cellIs" dxfId="14" priority="1" operator="equal">
      <formula>0</formula>
    </cfRule>
    <cfRule type="cellIs" dxfId="13" priority="2" operator="lessThan">
      <formula>0</formula>
    </cfRule>
    <cfRule type="cellIs" dxfId="12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7"/>
  <sheetViews>
    <sheetView workbookViewId="0">
      <selection activeCell="F2" sqref="F2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79</v>
      </c>
      <c r="F1" t="s">
        <v>80</v>
      </c>
    </row>
    <row r="2" spans="1:6" x14ac:dyDescent="0.55000000000000004">
      <c r="B2" s="24" t="s">
        <v>75</v>
      </c>
      <c r="D2" t="s">
        <v>170</v>
      </c>
      <c r="F2" t="s">
        <v>98</v>
      </c>
    </row>
    <row r="3" spans="1:6" x14ac:dyDescent="0.55000000000000004">
      <c r="B3" s="25" t="s">
        <v>76</v>
      </c>
      <c r="D3" t="s">
        <v>84</v>
      </c>
      <c r="F3" t="s">
        <v>129</v>
      </c>
    </row>
    <row r="4" spans="1:6" x14ac:dyDescent="0.55000000000000004">
      <c r="D4" t="s">
        <v>85</v>
      </c>
      <c r="F4" t="s">
        <v>204</v>
      </c>
    </row>
    <row r="5" spans="1:6" x14ac:dyDescent="0.55000000000000004">
      <c r="A5" t="s">
        <v>82</v>
      </c>
      <c r="B5" s="29" t="s">
        <v>84</v>
      </c>
      <c r="D5" t="s">
        <v>94</v>
      </c>
    </row>
    <row r="6" spans="1:6" x14ac:dyDescent="0.55000000000000004">
      <c r="A6" t="s">
        <v>81</v>
      </c>
      <c r="B6" s="29"/>
      <c r="D6" t="s">
        <v>98</v>
      </c>
    </row>
    <row r="7" spans="1:6" x14ac:dyDescent="0.55000000000000004">
      <c r="A7" t="s">
        <v>83</v>
      </c>
      <c r="B7" s="29" t="s">
        <v>84</v>
      </c>
      <c r="D7" t="s">
        <v>113</v>
      </c>
    </row>
    <row r="8" spans="1:6" x14ac:dyDescent="0.55000000000000004">
      <c r="D8" t="s">
        <v>117</v>
      </c>
    </row>
    <row r="9" spans="1:6" x14ac:dyDescent="0.55000000000000004">
      <c r="D9" t="s">
        <v>129</v>
      </c>
    </row>
    <row r="10" spans="1:6" x14ac:dyDescent="0.55000000000000004">
      <c r="D10" t="s">
        <v>130</v>
      </c>
    </row>
    <row r="11" spans="1:6" x14ac:dyDescent="0.55000000000000004">
      <c r="D11" t="s">
        <v>131</v>
      </c>
    </row>
    <row r="12" spans="1:6" x14ac:dyDescent="0.55000000000000004">
      <c r="D12" t="s">
        <v>171</v>
      </c>
    </row>
    <row r="13" spans="1:6" x14ac:dyDescent="0.55000000000000004">
      <c r="D13" t="s">
        <v>133</v>
      </c>
    </row>
    <row r="14" spans="1:6" x14ac:dyDescent="0.55000000000000004">
      <c r="D14" t="s">
        <v>135</v>
      </c>
    </row>
    <row r="15" spans="1:6" x14ac:dyDescent="0.55000000000000004">
      <c r="D15" t="s">
        <v>136</v>
      </c>
    </row>
    <row r="16" spans="1:6" x14ac:dyDescent="0.55000000000000004">
      <c r="D16" t="s">
        <v>217</v>
      </c>
    </row>
    <row r="17" spans="4:4" x14ac:dyDescent="0.55000000000000004">
      <c r="D17" t="s">
        <v>168</v>
      </c>
    </row>
    <row r="18" spans="4:4" x14ac:dyDescent="0.55000000000000004">
      <c r="D18" t="s">
        <v>218</v>
      </c>
    </row>
    <row r="19" spans="4:4" x14ac:dyDescent="0.55000000000000004">
      <c r="D19" t="s">
        <v>169</v>
      </c>
    </row>
    <row r="20" spans="4:4" x14ac:dyDescent="0.55000000000000004">
      <c r="D20" t="s">
        <v>172</v>
      </c>
    </row>
    <row r="21" spans="4:4" x14ac:dyDescent="0.55000000000000004">
      <c r="D21" t="s">
        <v>173</v>
      </c>
    </row>
    <row r="22" spans="4:4" x14ac:dyDescent="0.55000000000000004">
      <c r="D22" t="s">
        <v>198</v>
      </c>
    </row>
    <row r="23" spans="4:4" x14ac:dyDescent="0.55000000000000004">
      <c r="D23" t="s">
        <v>203</v>
      </c>
    </row>
    <row r="24" spans="4:4" x14ac:dyDescent="0.55000000000000004">
      <c r="D24" t="s">
        <v>204</v>
      </c>
    </row>
    <row r="25" spans="4:4" x14ac:dyDescent="0.55000000000000004">
      <c r="D25" t="s">
        <v>223</v>
      </c>
    </row>
    <row r="26" spans="4:4" x14ac:dyDescent="0.55000000000000004">
      <c r="D26" t="s">
        <v>224</v>
      </c>
    </row>
    <row r="27" spans="4:4" x14ac:dyDescent="0.55000000000000004">
      <c r="D27" t="s">
        <v>232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項目</vt:lpstr>
      <vt:lpstr>別名</vt:lpstr>
      <vt:lpstr>区分値</vt:lpstr>
      <vt:lpstr>タイプ</vt:lpstr>
      <vt:lpstr>WORK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2024-02-02T22:58:28Z</dcterms:modified>
</cp:coreProperties>
</file>