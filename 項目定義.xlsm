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D266CB0F-77F5-420A-8E29-149C95346C38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MAX((区分値!$A:$A&lt;&gt;"")*ROW(区分値!$A:$A))-1</definedName>
    <definedName name="DATA_ROWS" localSheetId="0">MAX((項目!$A:$A&lt;&gt;"")*ROW(項目!$A:$A))-1</definedName>
    <definedName name="DATA_ROWS" localSheetId="1">MAX((別名!$A:$A&lt;&gt;"")*ROW(別名!$A:$A))-1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4" i="3"/>
  <c r="C12" i="3"/>
  <c r="C20" i="3"/>
  <c r="C28" i="3"/>
  <c r="C36" i="3"/>
  <c r="C44" i="3"/>
  <c r="C52" i="3"/>
  <c r="C13" i="3"/>
  <c r="C21" i="3"/>
  <c r="C29" i="3"/>
  <c r="C37" i="3"/>
  <c r="C45" i="3"/>
  <c r="C6" i="3"/>
  <c r="C14" i="3"/>
  <c r="C22" i="3"/>
  <c r="C30" i="3"/>
  <c r="C46" i="3"/>
  <c r="C7" i="3"/>
  <c r="C23" i="3"/>
  <c r="C31" i="3"/>
  <c r="C55" i="3"/>
  <c r="C5" i="3"/>
  <c r="C53" i="3"/>
  <c r="C38" i="3"/>
  <c r="C54" i="3"/>
  <c r="C15" i="3"/>
  <c r="C47" i="3"/>
  <c r="C8" i="3"/>
  <c r="C16" i="3"/>
  <c r="C24" i="3"/>
  <c r="C32" i="3"/>
  <c r="C40" i="3"/>
  <c r="C48" i="3"/>
  <c r="C56" i="3"/>
  <c r="C39" i="3"/>
  <c r="C9" i="3"/>
  <c r="C17" i="3"/>
  <c r="C25" i="3"/>
  <c r="C33" i="3"/>
  <c r="C41" i="3"/>
  <c r="C49" i="3"/>
  <c r="C57" i="3"/>
  <c r="C2" i="3"/>
  <c r="C10" i="3"/>
  <c r="C18" i="3"/>
  <c r="C26" i="3"/>
  <c r="C34" i="3"/>
  <c r="C42" i="3"/>
  <c r="C50" i="3"/>
  <c r="C3" i="3"/>
  <c r="C11" i="3"/>
  <c r="C19" i="3"/>
  <c r="C27" i="3"/>
  <c r="C35" i="3"/>
  <c r="C43" i="3"/>
  <c r="C51" i="3"/>
</calcChain>
</file>

<file path=xl/sharedStrings.xml><?xml version="1.0" encoding="utf-8"?>
<sst xmlns="http://schemas.openxmlformats.org/spreadsheetml/2006/main" count="376" uniqueCount="239">
  <si>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</si>
  <si>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</si>
  <si>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</si>
  <si>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</si>
  <si>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</si>
  <si>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</si>
  <si>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</si>
  <si>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</si>
  <si>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</si>
  <si>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</si>
  <si>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</si>
  <si>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</si>
  <si>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</si>
  <si>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</si>
  <si>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</si>
  <si>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</si>
  <si>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</si>
  <si>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</si>
  <si>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</si>
  <si>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</si>
  <si>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</si>
  <si>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</si>
  <si>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</si>
  <si>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</si>
  <si>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</si>
  <si>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</si>
  <si>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</si>
  <si>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</si>
  <si>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</si>
  <si>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</si>
  <si>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</si>
  <si>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</si>
  <si>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</si>
  <si>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</si>
  <si>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</si>
  <si>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</si>
  <si>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</si>
  <si>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</si>
  <si>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</si>
  <si>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</si>
  <si>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</si>
  <si>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</si>
  <si>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</si>
  <si>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</si>
  <si>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</si>
  <si>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</si>
  <si>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</si>
  <si>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</si>
  <si>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</si>
  <si>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</si>
  <si>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</si>
  <si>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</si>
  <si>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</si>
  <si>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</si>
  <si>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</si>
  <si>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</si>
  <si>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</si>
  <si>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</si>
  <si>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</si>
  <si>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</si>
  <si>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</si>
  <si>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</si>
  <si>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</si>
  <si>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</si>
  <si>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</si>
  <si>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</si>
  <si>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</si>
  <si>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</si>
  <si>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</si>
  <si>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</si>
  <si>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</si>
  <si>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</si>
  <si>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</si>
  <si>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</si>
  <si>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</si>
  <si>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</si>
  <si>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</si>
  <si>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</si>
  <si>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</si>
  <si>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</si>
  <si>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</si>
  <si>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</si>
  <si>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</si>
  <si>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</si>
  <si>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</si>
  <si>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</si>
  <si>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</si>
  <si>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</si>
  <si>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</si>
  <si>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</si>
  <si>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</si>
  <si>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</si>
  <si>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</si>
  <si>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</si>
  <si>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</si>
  <si>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</si>
  <si>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</si>
  <si>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</si>
  <si>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</si>
  <si>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</si>
  <si>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</si>
  <si>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</si>
  <si>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</si>
  <si>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</si>
  <si>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</si>
  <si>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</si>
  <si>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</si>
  <si>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</si>
  <si>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</si>
  <si>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</si>
  <si>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</si>
  <si>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</si>
  <si>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</si>
  <si>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</si>
  <si>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</si>
  <si>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</si>
  <si>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</si>
  <si>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</si>
  <si>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</si>
  <si>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</si>
  <si>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</si>
  <si>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</si>
  <si>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</si>
  <si>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</si>
  <si>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</si>
  <si>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</si>
  <si>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</si>
  <si>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</si>
  <si>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</si>
  <si>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</si>
  <si>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</si>
  <si>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</si>
  <si>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</si>
  <si>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</si>
  <si>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</si>
  <si>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</si>
  <si>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</si>
  <si>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</si>
  <si>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</si>
  <si>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</si>
  <si>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</si>
  <si>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</si>
  <si>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</si>
  <si>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</si>
  <si>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</si>
  <si>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</si>
  <si>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</si>
  <si>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</si>
  <si>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</si>
  <si>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</si>
  <si>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</si>
  <si>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</si>
  <si>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</si>
  <si>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</si>
  <si>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</si>
  <si>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</si>
  <si>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</si>
  <si>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</si>
  <si>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</si>
  <si>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</si>
  <si>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</si>
  <si>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</si>
  <si>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</si>
  <si>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</si>
  <si>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</si>
  <si>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</si>
  <si>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</si>
  <si>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</si>
  <si>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</si>
  <si>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</si>
  <si>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</si>
  <si>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</si>
  <si>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</si>
  <si>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</si>
  <si>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</si>
  <si>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</si>
  <si>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</si>
  <si>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</si>
  <si>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</si>
  <si>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</si>
  <si>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</si>
  <si>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</si>
  <si>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</si>
  <si>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</si>
  <si>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</si>
  <si>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</si>
  <si>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</si>
  <si>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</si>
  <si>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</si>
  <si>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</si>
  <si>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</si>
  <si>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</si>
  <si>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</si>
  <si>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</si>
  <si>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</si>
  <si>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</si>
  <si>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</si>
  <si>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</si>
  <si>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</si>
  <si>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</si>
  <si>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</si>
  <si>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</si>
  <si>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</si>
  <si>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</si>
  <si>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</si>
  <si>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</si>
  <si>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</si>
  <si>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</si>
  <si>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</si>
  <si>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</si>
  <si>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</si>
  <si>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</si>
  <si>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</si>
  <si>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</si>
  <si>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</si>
  <si>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</si>
  <si>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</si>
  <si>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</si>
  <si>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</si>
  <si>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</si>
  <si>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</si>
  <si>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</si>
  <si>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</si>
  <si>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</si>
  <si>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</si>
  <si>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</si>
  <si>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</si>
  <si>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</si>
  <si>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</si>
  <si>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</si>
  <si>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</si>
  <si>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</si>
  <si>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</si>
  <si>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</si>
  <si>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</si>
  <si>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</si>
  <si>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</si>
  <si>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最小最大値</t>
    <rPh sb="0" eb="2">
      <t>サイショウ</t>
    </rPh>
    <rPh sb="2" eb="5">
      <t>サイダイチ</t>
    </rPh>
    <phoneticPr fontId="1"/>
  </si>
  <si>
    <t>^([0-1]?[0-9]|2[0-3]):[0-5][0-9]$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</si>
</sst>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0" fontId="2" fillId="5" borderId="12" xfId="0" applyFont="1" applyFill="1" applyBorder="1">
      <alignment vertical="center"/>
    </xf>
    <xf numFmtId="178" fontId="2" fillId="5" borderId="12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6" borderId="12" xfId="0" applyNumberFormat="1" applyFont="1" applyFill="1" applyBorder="1">
      <alignment vertical="center"/>
    </xf>
  </cellXfs>
  <cellStyles count="1">
    <cellStyle name="標準" xfId="0" builtinId="0"/>
  </cellStyles>
  <dxfs count="39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382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A4" sqref="A4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7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6" t="s">
        <v>72</v>
      </c>
      <c r="K1" s="20" t="s">
        <v>6</v>
      </c>
      <c r="L1" s="21" t="s">
        <v>116</v>
      </c>
      <c r="M1" s="22" t="s">
        <v>73</v>
      </c>
    </row>
    <row r="2" spans="1:15" ht="18" x14ac:dyDescent="0.55000000000000004">
      <c r="A2" s="38" t="s">
        <v>163</v>
      </c>
      <c r="B2" s="38" t="s">
        <v>167</v>
      </c>
      <c r="C2" s="42" t="str">
        <f t="shared" ref="C2:C33" si="0">camel2snake(B2)</f>
        <v>product_no</v>
      </c>
      <c r="D2" s="38" t="s">
        <v>207</v>
      </c>
      <c r="E2" s="46"/>
      <c r="F2" s="45">
        <v>9</v>
      </c>
      <c r="G2" s="45">
        <v>10</v>
      </c>
      <c r="H2" s="46"/>
      <c r="I2" s="46"/>
      <c r="J2" s="39" t="s">
        <v>87</v>
      </c>
      <c r="K2" s="38" t="s">
        <v>105</v>
      </c>
      <c r="L2" s="43">
        <f ca="1">COUNTIF(派生元項目KEY,A2)</f>
        <v>0</v>
      </c>
      <c r="M2" s="43">
        <f ca="1">COUNTIF(区分値項目KEY,A2)</f>
        <v>0</v>
      </c>
      <c r="N2"/>
      <c r="O2"/>
    </row>
    <row r="3" spans="1:15" ht="18" x14ac:dyDescent="0.55000000000000004">
      <c r="A3" s="38" t="s">
        <v>83</v>
      </c>
      <c r="B3" s="38" t="s">
        <v>85</v>
      </c>
      <c r="C3" s="42" t="str">
        <f t="shared" si="0"/>
        <v>price</v>
      </c>
      <c r="D3" s="38" t="s">
        <v>88</v>
      </c>
      <c r="E3" s="46"/>
      <c r="F3" s="46"/>
      <c r="G3" s="46"/>
      <c r="H3" s="45">
        <v>0</v>
      </c>
      <c r="I3" s="45"/>
      <c r="J3" s="39" t="s">
        <v>227</v>
      </c>
      <c r="K3" s="38" t="s">
        <v>106</v>
      </c>
      <c r="L3" s="43">
        <f ca="1">COUNTIF(派生元項目KEY,A3)</f>
        <v>1</v>
      </c>
      <c r="M3" s="43">
        <f ca="1">COUNTIF(区分値項目KEY,A3)</f>
        <v>0</v>
      </c>
      <c r="N3"/>
      <c r="O3"/>
    </row>
    <row r="4" spans="1:15" ht="18" x14ac:dyDescent="0.55000000000000004">
      <c r="A4" s="38" t="s">
        <v>84</v>
      </c>
      <c r="B4" s="38" t="s">
        <v>86</v>
      </c>
      <c r="C4" s="42" t="str">
        <f t="shared" si="0"/>
        <v>up</v>
      </c>
      <c r="D4" s="38" t="s">
        <v>90</v>
      </c>
      <c r="E4" s="46"/>
      <c r="F4" s="46"/>
      <c r="G4" s="46"/>
      <c r="H4" s="45">
        <v>-1000</v>
      </c>
      <c r="I4" s="45">
        <v>1000</v>
      </c>
      <c r="J4" s="39" t="s">
        <v>228</v>
      </c>
      <c r="K4" s="38" t="s">
        <v>107</v>
      </c>
      <c r="L4" s="43">
        <f ca="1">COUNTIF(派生元項目KEY,A4)</f>
        <v>0</v>
      </c>
      <c r="M4" s="43">
        <f ca="1">COUNTIF(区分値項目KEY,A4)</f>
        <v>0</v>
      </c>
      <c r="N4"/>
      <c r="O4"/>
    </row>
    <row r="5" spans="1:15" ht="18" x14ac:dyDescent="0.55000000000000004">
      <c r="A5" s="38" t="s">
        <v>91</v>
      </c>
      <c r="B5" s="38" t="s">
        <v>193</v>
      </c>
      <c r="C5" s="42" t="str">
        <f t="shared" si="0"/>
        <v>registration_date</v>
      </c>
      <c r="D5" s="38" t="s">
        <v>89</v>
      </c>
      <c r="E5" s="46"/>
      <c r="F5" s="46"/>
      <c r="G5" s="46"/>
      <c r="H5" s="46"/>
      <c r="I5" s="46"/>
      <c r="J5" s="39" t="s">
        <v>232</v>
      </c>
      <c r="K5" s="38" t="s">
        <v>91</v>
      </c>
      <c r="L5" s="43">
        <f ca="1">COUNTIF(派生元項目KEY,A5)</f>
        <v>0</v>
      </c>
      <c r="M5" s="43">
        <f ca="1">COUNTIF(区分値項目KEY,A5)</f>
        <v>0</v>
      </c>
      <c r="N5"/>
      <c r="O5"/>
    </row>
    <row r="6" spans="1:15" ht="18" x14ac:dyDescent="0.55000000000000004">
      <c r="A6" s="38" t="s">
        <v>94</v>
      </c>
      <c r="B6" s="38" t="s">
        <v>95</v>
      </c>
      <c r="C6" s="42" t="str">
        <f t="shared" si="0"/>
        <v>product_kbn</v>
      </c>
      <c r="D6" s="38" t="s">
        <v>209</v>
      </c>
      <c r="E6" s="46"/>
      <c r="F6" s="45"/>
      <c r="G6" s="45"/>
      <c r="H6" s="46"/>
      <c r="I6" s="46"/>
      <c r="J6" s="39" t="s">
        <v>123</v>
      </c>
      <c r="K6" s="38" t="s">
        <v>96</v>
      </c>
      <c r="L6" s="43">
        <f ca="1">COUNTIF(派生元項目KEY,A6)</f>
        <v>0</v>
      </c>
      <c r="M6" s="43">
        <f ca="1">COUNTIF(区分値項目KEY,A6)</f>
        <v>4</v>
      </c>
      <c r="N6"/>
      <c r="O6"/>
    </row>
    <row r="7" spans="1:15" ht="18" x14ac:dyDescent="0.55000000000000004">
      <c r="A7" s="38" t="s">
        <v>109</v>
      </c>
      <c r="B7" s="38" t="s">
        <v>111</v>
      </c>
      <c r="C7" s="42" t="str">
        <f t="shared" si="0"/>
        <v>comment</v>
      </c>
      <c r="D7" s="38" t="s">
        <v>110</v>
      </c>
      <c r="E7" s="44"/>
      <c r="F7" s="45">
        <v>10</v>
      </c>
      <c r="G7" s="46"/>
      <c r="H7" s="46"/>
      <c r="I7" s="46"/>
      <c r="J7" s="39" t="s">
        <v>112</v>
      </c>
      <c r="K7" s="38" t="s">
        <v>109</v>
      </c>
      <c r="L7" s="43">
        <f ca="1">COUNTIF(派生元項目KEY,A7)</f>
        <v>0</v>
      </c>
      <c r="M7" s="43">
        <f ca="1">COUNTIF(区分値項目KEY,A7)</f>
        <v>0</v>
      </c>
      <c r="N7"/>
      <c r="O7"/>
    </row>
    <row r="8" spans="1:15" ht="18" x14ac:dyDescent="0.55000000000000004">
      <c r="A8" s="38" t="s">
        <v>113</v>
      </c>
      <c r="B8" s="38" t="s">
        <v>118</v>
      </c>
      <c r="C8" s="42" t="str">
        <f t="shared" si="0"/>
        <v>can_update</v>
      </c>
      <c r="D8" s="38" t="s">
        <v>114</v>
      </c>
      <c r="E8" s="46"/>
      <c r="F8" s="46"/>
      <c r="G8" s="46"/>
      <c r="H8" s="46"/>
      <c r="I8" s="46"/>
      <c r="J8" s="39" t="s">
        <v>233</v>
      </c>
      <c r="K8" s="38" t="s">
        <v>115</v>
      </c>
      <c r="L8" s="43">
        <f ca="1">COUNTIF(派生元項目KEY,A8)</f>
        <v>0</v>
      </c>
      <c r="M8" s="43">
        <f ca="1">COUNTIF(区分値項目KEY,A8)</f>
        <v>0</v>
      </c>
      <c r="N8"/>
      <c r="O8"/>
    </row>
    <row r="9" spans="1:15" ht="18" x14ac:dyDescent="0.55000000000000004">
      <c r="A9" s="38" t="s">
        <v>124</v>
      </c>
      <c r="B9" s="38" t="s">
        <v>183</v>
      </c>
      <c r="C9" s="42" t="str">
        <f t="shared" si="0"/>
        <v>department</v>
      </c>
      <c r="D9" s="38" t="s">
        <v>209</v>
      </c>
      <c r="E9" s="46"/>
      <c r="F9" s="45"/>
      <c r="G9" s="45"/>
      <c r="H9" s="46"/>
      <c r="I9" s="46"/>
      <c r="J9" s="39" t="s">
        <v>149</v>
      </c>
      <c r="K9" s="38" t="s">
        <v>124</v>
      </c>
      <c r="L9" s="43">
        <f ca="1">COUNTIF(派生元項目KEY,A9)</f>
        <v>1</v>
      </c>
      <c r="M9" s="43">
        <f ca="1">COUNTIF(区分値項目KEY,A9)</f>
        <v>5</v>
      </c>
      <c r="N9"/>
      <c r="O9"/>
    </row>
    <row r="10" spans="1:15" ht="18" x14ac:dyDescent="0.55000000000000004">
      <c r="A10" s="38" t="s">
        <v>125</v>
      </c>
      <c r="B10" s="38" t="s">
        <v>132</v>
      </c>
      <c r="C10" s="42" t="str">
        <f t="shared" si="0"/>
        <v>order_date</v>
      </c>
      <c r="D10" s="38" t="s">
        <v>89</v>
      </c>
      <c r="E10" s="46"/>
      <c r="F10" s="46"/>
      <c r="G10" s="46"/>
      <c r="H10" s="46"/>
      <c r="I10" s="46"/>
      <c r="J10" s="39" t="s">
        <v>232</v>
      </c>
      <c r="K10" s="38" t="s">
        <v>125</v>
      </c>
      <c r="L10" s="43">
        <f ca="1">COUNTIF(派生元項目KEY,A10)</f>
        <v>0</v>
      </c>
      <c r="M10" s="43">
        <f ca="1">COUNTIF(区分値項目KEY,A10)</f>
        <v>0</v>
      </c>
      <c r="N10"/>
      <c r="O10"/>
    </row>
    <row r="11" spans="1:15" ht="18" x14ac:dyDescent="0.55000000000000004">
      <c r="A11" s="38" t="s">
        <v>126</v>
      </c>
      <c r="B11" s="38" t="s">
        <v>133</v>
      </c>
      <c r="C11" s="42" t="str">
        <f t="shared" si="0"/>
        <v>quantity</v>
      </c>
      <c r="D11" s="38" t="s">
        <v>88</v>
      </c>
      <c r="E11" s="46"/>
      <c r="F11" s="46"/>
      <c r="G11" s="46"/>
      <c r="H11" s="45">
        <v>0</v>
      </c>
      <c r="I11" s="45">
        <v>99999</v>
      </c>
      <c r="J11" s="39" t="s">
        <v>229</v>
      </c>
      <c r="K11" s="38" t="s">
        <v>126</v>
      </c>
      <c r="L11" s="43">
        <f ca="1">COUNTIF(派生元項目KEY,A11)</f>
        <v>0</v>
      </c>
      <c r="M11" s="43">
        <f ca="1">COUNTIF(区分値項目KEY,A11)</f>
        <v>0</v>
      </c>
      <c r="N11"/>
      <c r="O11"/>
    </row>
    <row r="12" spans="1:15" ht="18" x14ac:dyDescent="0.55000000000000004">
      <c r="A12" s="38" t="s">
        <v>164</v>
      </c>
      <c r="B12" s="38" t="s">
        <v>168</v>
      </c>
      <c r="C12" s="42" t="str">
        <f t="shared" si="0"/>
        <v>received_order_no</v>
      </c>
      <c r="D12" s="38" t="s">
        <v>207</v>
      </c>
      <c r="E12" s="46"/>
      <c r="F12" s="45">
        <v>10</v>
      </c>
      <c r="G12" s="45">
        <v>10</v>
      </c>
      <c r="H12" s="46"/>
      <c r="I12" s="46"/>
      <c r="J12" s="39" t="s">
        <v>136</v>
      </c>
      <c r="K12" s="38" t="s">
        <v>127</v>
      </c>
      <c r="L12" s="43">
        <f ca="1">COUNTIF(派生元項目KEY,A12)</f>
        <v>0</v>
      </c>
      <c r="M12" s="43">
        <f ca="1">COUNTIF(区分値項目KEY,A12)</f>
        <v>0</v>
      </c>
      <c r="N12"/>
      <c r="O12"/>
    </row>
    <row r="13" spans="1:15" ht="18" x14ac:dyDescent="0.55000000000000004">
      <c r="A13" s="38" t="s">
        <v>128</v>
      </c>
      <c r="B13" s="38" t="s">
        <v>134</v>
      </c>
      <c r="C13" s="42" t="str">
        <f t="shared" si="0"/>
        <v>order_detail_no</v>
      </c>
      <c r="D13" s="38" t="s">
        <v>129</v>
      </c>
      <c r="E13" s="46"/>
      <c r="F13" s="46"/>
      <c r="G13" s="46"/>
      <c r="H13" s="46"/>
      <c r="I13" s="46"/>
      <c r="J13" s="39" t="s">
        <v>230</v>
      </c>
      <c r="K13" s="38" t="s">
        <v>174</v>
      </c>
      <c r="L13" s="43">
        <f ca="1">COUNTIF(派生元項目KEY,A13)</f>
        <v>0</v>
      </c>
      <c r="M13" s="43">
        <f ca="1">COUNTIF(区分値項目KEY,A13)</f>
        <v>0</v>
      </c>
      <c r="N13"/>
      <c r="O13"/>
    </row>
    <row r="14" spans="1:15" ht="18" x14ac:dyDescent="0.55000000000000004">
      <c r="A14" s="38" t="s">
        <v>130</v>
      </c>
      <c r="B14" s="38" t="s">
        <v>169</v>
      </c>
      <c r="C14" s="42" t="str">
        <f t="shared" si="0"/>
        <v>person_in_charge</v>
      </c>
      <c r="D14" s="38" t="s">
        <v>137</v>
      </c>
      <c r="E14" s="44"/>
      <c r="F14" s="45"/>
      <c r="G14" s="45">
        <v>30</v>
      </c>
      <c r="H14" s="46"/>
      <c r="I14" s="46"/>
      <c r="J14" s="39" t="s">
        <v>138</v>
      </c>
      <c r="K14" s="38" t="s">
        <v>139</v>
      </c>
      <c r="L14" s="43">
        <f ca="1">COUNTIF(派生元項目KEY,A14)</f>
        <v>0</v>
      </c>
      <c r="M14" s="43">
        <f ca="1">COUNTIF(区分値項目KEY,A14)</f>
        <v>0</v>
      </c>
      <c r="N14"/>
      <c r="O14"/>
    </row>
    <row r="15" spans="1:15" ht="18" x14ac:dyDescent="0.55000000000000004">
      <c r="A15" s="38" t="s">
        <v>131</v>
      </c>
      <c r="B15" s="38" t="s">
        <v>135</v>
      </c>
      <c r="C15" s="42" t="str">
        <f t="shared" si="0"/>
        <v>user_id</v>
      </c>
      <c r="D15" s="38" t="s">
        <v>207</v>
      </c>
      <c r="E15" s="46"/>
      <c r="F15" s="45">
        <v>4</v>
      </c>
      <c r="G15" s="45">
        <v>4</v>
      </c>
      <c r="H15" s="46"/>
      <c r="I15" s="46"/>
      <c r="J15" s="39" t="s">
        <v>210</v>
      </c>
      <c r="K15" s="38" t="s">
        <v>140</v>
      </c>
      <c r="L15" s="43">
        <f ca="1">COUNTIF(派生元項目KEY,A15)</f>
        <v>2</v>
      </c>
      <c r="M15" s="43">
        <f ca="1">COUNTIF(区分値項目KEY,A15)</f>
        <v>0</v>
      </c>
      <c r="N15"/>
      <c r="O15"/>
    </row>
    <row r="16" spans="1:15" ht="18" x14ac:dyDescent="0.55000000000000004">
      <c r="A16" s="38" t="s">
        <v>205</v>
      </c>
      <c r="B16" s="38" t="s">
        <v>170</v>
      </c>
      <c r="C16" s="42" t="str">
        <f t="shared" si="0"/>
        <v>product_name</v>
      </c>
      <c r="D16" s="38" t="s">
        <v>137</v>
      </c>
      <c r="E16" s="44"/>
      <c r="F16" s="45"/>
      <c r="G16" s="45">
        <v>100</v>
      </c>
      <c r="H16" s="46"/>
      <c r="I16" s="46"/>
      <c r="J16" s="39" t="s">
        <v>175</v>
      </c>
      <c r="K16" s="38" t="s">
        <v>176</v>
      </c>
      <c r="L16" s="43">
        <f ca="1">COUNTIF(派生元項目KEY,A16)</f>
        <v>0</v>
      </c>
      <c r="M16" s="43">
        <f ca="1">COUNTIF(区分値項目KEY,A16)</f>
        <v>0</v>
      </c>
      <c r="N16"/>
      <c r="O16"/>
    </row>
    <row r="17" spans="1:15" ht="18" x14ac:dyDescent="0.55000000000000004">
      <c r="A17" s="38" t="s">
        <v>161</v>
      </c>
      <c r="B17" s="38" t="s">
        <v>225</v>
      </c>
      <c r="C17" s="42" t="str">
        <f t="shared" si="0"/>
        <v>customer_id</v>
      </c>
      <c r="D17" s="38" t="s">
        <v>207</v>
      </c>
      <c r="E17" s="46"/>
      <c r="F17" s="45">
        <v>3</v>
      </c>
      <c r="G17" s="45">
        <v>3</v>
      </c>
      <c r="H17" s="46"/>
      <c r="I17" s="46"/>
      <c r="J17" s="39" t="s">
        <v>177</v>
      </c>
      <c r="K17" s="38" t="s">
        <v>178</v>
      </c>
      <c r="L17" s="43">
        <f ca="1">COUNTIF(派生元項目KEY,A17)</f>
        <v>0</v>
      </c>
      <c r="M17" s="43">
        <f ca="1">COUNTIF(区分値項目KEY,A17)</f>
        <v>0</v>
      </c>
      <c r="N17"/>
      <c r="O17"/>
    </row>
    <row r="18" spans="1:15" ht="18" x14ac:dyDescent="0.55000000000000004">
      <c r="A18" s="38" t="s">
        <v>206</v>
      </c>
      <c r="B18" s="38" t="s">
        <v>226</v>
      </c>
      <c r="C18" s="42" t="str">
        <f t="shared" si="0"/>
        <v>customer_name</v>
      </c>
      <c r="D18" s="38" t="s">
        <v>137</v>
      </c>
      <c r="E18" s="44"/>
      <c r="F18" s="45"/>
      <c r="G18" s="45">
        <v>100</v>
      </c>
      <c r="H18" s="46"/>
      <c r="I18" s="46"/>
      <c r="J18" s="39" t="s">
        <v>179</v>
      </c>
      <c r="K18" s="38" t="s">
        <v>180</v>
      </c>
      <c r="L18" s="43">
        <f ca="1">COUNTIF(派生元項目KEY,A18)</f>
        <v>0</v>
      </c>
      <c r="M18" s="43">
        <f ca="1">COUNTIF(区分値項目KEY,A18)</f>
        <v>0</v>
      </c>
      <c r="N18"/>
      <c r="O18"/>
    </row>
    <row r="19" spans="1:15" ht="18" x14ac:dyDescent="0.55000000000000004">
      <c r="A19" s="38" t="s">
        <v>162</v>
      </c>
      <c r="B19" s="38" t="s">
        <v>171</v>
      </c>
      <c r="C19" s="42" t="str">
        <f t="shared" si="0"/>
        <v>is_working</v>
      </c>
      <c r="D19" s="38" t="s">
        <v>114</v>
      </c>
      <c r="E19" s="46"/>
      <c r="F19" s="46"/>
      <c r="G19" s="46"/>
      <c r="H19" s="46"/>
      <c r="I19" s="46"/>
      <c r="J19" s="39" t="s">
        <v>234</v>
      </c>
      <c r="K19" s="38" t="s">
        <v>181</v>
      </c>
      <c r="L19" s="43">
        <f ca="1">COUNTIF(派生元項目KEY,A19)</f>
        <v>0</v>
      </c>
      <c r="M19" s="43">
        <f ca="1">COUNTIF(区分値項目KEY,A19)</f>
        <v>0</v>
      </c>
      <c r="N19"/>
      <c r="O19"/>
    </row>
    <row r="20" spans="1:15" ht="18" x14ac:dyDescent="0.55000000000000004">
      <c r="A20" s="38" t="s">
        <v>165</v>
      </c>
      <c r="B20" s="38" t="s">
        <v>172</v>
      </c>
      <c r="C20" s="42" t="str">
        <f t="shared" si="0"/>
        <v>profit_rate</v>
      </c>
      <c r="D20" s="38" t="s">
        <v>90</v>
      </c>
      <c r="E20" s="46"/>
      <c r="F20" s="46"/>
      <c r="G20" s="46"/>
      <c r="H20" s="45"/>
      <c r="I20" s="45">
        <v>10</v>
      </c>
      <c r="J20" s="39" t="s">
        <v>231</v>
      </c>
      <c r="K20" s="38" t="s">
        <v>165</v>
      </c>
      <c r="L20" s="43">
        <f ca="1">COUNTIF(派生元項目KEY,A20)</f>
        <v>0</v>
      </c>
      <c r="M20" s="43">
        <f ca="1">COUNTIF(区分値項目KEY,A20)</f>
        <v>0</v>
      </c>
      <c r="N20"/>
      <c r="O20"/>
    </row>
    <row r="21" spans="1:15" ht="18" x14ac:dyDescent="0.55000000000000004">
      <c r="A21" s="38" t="s">
        <v>166</v>
      </c>
      <c r="B21" s="38" t="s">
        <v>173</v>
      </c>
      <c r="C21" s="42" t="str">
        <f t="shared" si="0"/>
        <v>exclude_report</v>
      </c>
      <c r="D21" s="38" t="s">
        <v>114</v>
      </c>
      <c r="E21" s="46"/>
      <c r="F21" s="46"/>
      <c r="G21" s="46"/>
      <c r="H21" s="46"/>
      <c r="I21" s="46"/>
      <c r="J21" s="39" t="s">
        <v>234</v>
      </c>
      <c r="K21" s="38" t="s">
        <v>182</v>
      </c>
      <c r="L21" s="43">
        <f ca="1">COUNTIF(派生元項目KEY,A21)</f>
        <v>0</v>
      </c>
      <c r="M21" s="43">
        <f ca="1">COUNTIF(区分値項目KEY,A21)</f>
        <v>0</v>
      </c>
      <c r="N21"/>
      <c r="O21"/>
    </row>
    <row r="22" spans="1:15" ht="18" x14ac:dyDescent="0.55000000000000004">
      <c r="A22" s="38" t="s">
        <v>187</v>
      </c>
      <c r="B22" s="38" t="s">
        <v>190</v>
      </c>
      <c r="C22" s="42" t="str">
        <f t="shared" si="0"/>
        <v>shipping_time</v>
      </c>
      <c r="D22" s="38" t="s">
        <v>188</v>
      </c>
      <c r="E22" s="44" t="s">
        <v>238</v>
      </c>
      <c r="F22" s="46"/>
      <c r="G22" s="46"/>
      <c r="H22" s="46"/>
      <c r="I22" s="46"/>
      <c r="J22" s="39" t="s">
        <v>235</v>
      </c>
      <c r="K22" s="38" t="s">
        <v>189</v>
      </c>
      <c r="L22" s="43">
        <f ca="1">COUNTIF(派生元項目KEY,A22)</f>
        <v>0</v>
      </c>
      <c r="M22" s="43">
        <f ca="1">COUNTIF(区分値項目KEY,A22)</f>
        <v>0</v>
      </c>
      <c r="N22"/>
      <c r="O22"/>
    </row>
    <row r="23" spans="1:15" ht="18" x14ac:dyDescent="0.55000000000000004">
      <c r="A23" s="38" t="s">
        <v>191</v>
      </c>
      <c r="B23" s="38" t="s">
        <v>194</v>
      </c>
      <c r="C23" s="42" t="str">
        <f t="shared" si="0"/>
        <v>is_active_customer</v>
      </c>
      <c r="D23" s="38" t="s">
        <v>114</v>
      </c>
      <c r="E23" s="46"/>
      <c r="F23" s="46"/>
      <c r="G23" s="46"/>
      <c r="H23" s="46"/>
      <c r="I23" s="46"/>
      <c r="J23" s="39" t="s">
        <v>234</v>
      </c>
      <c r="K23" s="38" t="s">
        <v>195</v>
      </c>
      <c r="L23" s="43">
        <f ca="1">COUNTIF(派生元項目KEY,A23)</f>
        <v>0</v>
      </c>
      <c r="M23" s="43">
        <f ca="1">COUNTIF(区分値項目KEY,A23)</f>
        <v>0</v>
      </c>
      <c r="N23"/>
      <c r="O23"/>
    </row>
    <row r="24" spans="1:15" ht="18" x14ac:dyDescent="0.55000000000000004">
      <c r="A24" s="38" t="s">
        <v>192</v>
      </c>
      <c r="B24" s="38" t="s">
        <v>221</v>
      </c>
      <c r="C24" s="42" t="str">
        <f t="shared" si="0"/>
        <v>customer_type</v>
      </c>
      <c r="D24" s="38" t="s">
        <v>209</v>
      </c>
      <c r="E24" s="46"/>
      <c r="F24" s="45"/>
      <c r="G24" s="45"/>
      <c r="H24" s="46"/>
      <c r="I24" s="46"/>
      <c r="J24" s="39" t="s">
        <v>196</v>
      </c>
      <c r="K24" s="38" t="s">
        <v>197</v>
      </c>
      <c r="L24" s="43">
        <f ca="1">COUNTIF(派生元項目KEY,A24)</f>
        <v>0</v>
      </c>
      <c r="M24" s="43">
        <f ca="1">COUNTIF(区分値項目KEY,A24)</f>
        <v>4</v>
      </c>
      <c r="N24"/>
      <c r="O24"/>
    </row>
    <row r="25" spans="1:15" ht="18" x14ac:dyDescent="0.55000000000000004">
      <c r="A25" s="38" t="s">
        <v>211</v>
      </c>
      <c r="B25" s="38" t="s">
        <v>214</v>
      </c>
      <c r="C25" s="42" t="str">
        <f t="shared" si="0"/>
        <v>approve_datetime</v>
      </c>
      <c r="D25" s="38" t="s">
        <v>216</v>
      </c>
      <c r="E25" s="46"/>
      <c r="F25" s="46"/>
      <c r="G25" s="46"/>
      <c r="H25" s="46"/>
      <c r="I25" s="46"/>
      <c r="J25" s="39" t="s">
        <v>217</v>
      </c>
      <c r="K25" s="38" t="s">
        <v>218</v>
      </c>
      <c r="L25" s="43">
        <f ca="1">COUNTIF(派生元項目KEY,A25)</f>
        <v>0</v>
      </c>
      <c r="M25" s="43">
        <f ca="1">COUNTIF(区分値項目KEY,A25)</f>
        <v>0</v>
      </c>
      <c r="N25"/>
      <c r="O25"/>
    </row>
    <row r="26" spans="1:15" ht="18" x14ac:dyDescent="0.55000000000000004">
      <c r="A26" s="38" t="s">
        <v>212</v>
      </c>
      <c r="B26" s="38" t="s">
        <v>215</v>
      </c>
      <c r="C26" s="42" t="str">
        <f t="shared" si="0"/>
        <v>emploee_no</v>
      </c>
      <c r="D26" s="38" t="s">
        <v>207</v>
      </c>
      <c r="E26" s="46"/>
      <c r="F26" s="45">
        <v>4</v>
      </c>
      <c r="G26" s="45">
        <v>4</v>
      </c>
      <c r="H26" s="46"/>
      <c r="I26" s="46"/>
      <c r="J26" s="39" t="s">
        <v>236</v>
      </c>
      <c r="K26" s="38" t="s">
        <v>212</v>
      </c>
      <c r="L26" s="43">
        <f ca="1">COUNTIF(派生元項目KEY,A26)</f>
        <v>0</v>
      </c>
      <c r="M26" s="43">
        <f ca="1">COUNTIF(区分値項目KEY,A26)</f>
        <v>0</v>
      </c>
      <c r="N26"/>
      <c r="O26"/>
    </row>
    <row r="27" spans="1:15" ht="18" x14ac:dyDescent="0.55000000000000004">
      <c r="A27" s="38" t="s">
        <v>220</v>
      </c>
      <c r="B27" s="38" t="s">
        <v>222</v>
      </c>
      <c r="C27" s="42" t="str">
        <f t="shared" si="0"/>
        <v>log_id</v>
      </c>
      <c r="D27" s="38" t="s">
        <v>219</v>
      </c>
      <c r="E27" s="46"/>
      <c r="F27" s="46"/>
      <c r="G27" s="46"/>
      <c r="H27" s="46"/>
      <c r="I27" s="46"/>
      <c r="J27" s="39" t="s">
        <v>223</v>
      </c>
      <c r="K27" s="38" t="s">
        <v>224</v>
      </c>
      <c r="L27" s="43">
        <f ca="1">COUNTIF(派生元項目KEY,A27)</f>
        <v>0</v>
      </c>
      <c r="M27" s="43">
        <f ca="1">COUNTIF(区分値項目KEY,A27)</f>
        <v>0</v>
      </c>
      <c r="N27"/>
      <c r="O27"/>
    </row>
    <row r="28" spans="1:15" ht="18" x14ac:dyDescent="0.55000000000000004">
      <c r="A28" s="38"/>
      <c r="B28" s="38"/>
      <c r="C28" s="42" t="str">
        <f t="shared" si="0"/>
        <v/>
      </c>
      <c r="D28" s="38"/>
      <c r="E28" s="38"/>
      <c r="F28" s="38"/>
      <c r="G28" s="38"/>
      <c r="H28" s="38"/>
      <c r="I28" s="38"/>
      <c r="J28" s="39"/>
      <c r="K28" s="38"/>
      <c r="L28" s="43">
        <f ca="1">COUNTIF(派生元項目KEY,A28)</f>
        <v>0</v>
      </c>
      <c r="M28" s="43">
        <f ca="1">COUNTIF(区分値項目KEY,A28)</f>
        <v>0</v>
      </c>
      <c r="N28"/>
      <c r="O28"/>
    </row>
    <row r="29" spans="1:15" ht="18" x14ac:dyDescent="0.55000000000000004">
      <c r="A29" s="38"/>
      <c r="B29" s="38"/>
      <c r="C29" s="42" t="str">
        <f t="shared" si="0"/>
        <v/>
      </c>
      <c r="D29" s="38"/>
      <c r="E29" s="38"/>
      <c r="F29" s="38"/>
      <c r="G29" s="38"/>
      <c r="H29" s="38"/>
      <c r="I29" s="38"/>
      <c r="J29" s="39"/>
      <c r="K29" s="38"/>
      <c r="L29" s="43">
        <f ca="1">COUNTIF(派生元項目KEY,A29)</f>
        <v>0</v>
      </c>
      <c r="M29" s="43">
        <f ca="1">COUNTIF(区分値項目KEY,A29)</f>
        <v>0</v>
      </c>
      <c r="N29"/>
      <c r="O29"/>
    </row>
    <row r="30" spans="1:15" ht="18" x14ac:dyDescent="0.55000000000000004">
      <c r="A30" s="38"/>
      <c r="B30" s="38"/>
      <c r="C30" s="42" t="str">
        <f t="shared" si="0"/>
        <v/>
      </c>
      <c r="D30" s="38"/>
      <c r="E30" s="38"/>
      <c r="F30" s="38"/>
      <c r="G30" s="38"/>
      <c r="H30" s="38"/>
      <c r="I30" s="38"/>
      <c r="J30" s="39"/>
      <c r="K30" s="38"/>
      <c r="L30" s="43">
        <f ca="1">COUNTIF(派生元項目KEY,A30)</f>
        <v>0</v>
      </c>
      <c r="M30" s="43">
        <f ca="1">COUNTIF(区分値項目KEY,A30)</f>
        <v>0</v>
      </c>
      <c r="N30"/>
      <c r="O30"/>
    </row>
    <row r="31" spans="1:15" ht="18" x14ac:dyDescent="0.55000000000000004">
      <c r="A31" s="38"/>
      <c r="B31" s="38"/>
      <c r="C31" s="42" t="str">
        <f t="shared" si="0"/>
        <v/>
      </c>
      <c r="D31" s="38"/>
      <c r="E31" s="38"/>
      <c r="F31" s="38"/>
      <c r="G31" s="38"/>
      <c r="H31" s="38"/>
      <c r="I31" s="38"/>
      <c r="J31" s="39"/>
      <c r="K31" s="38"/>
      <c r="L31" s="43">
        <f ca="1">COUNTIF(派生元項目KEY,A31)</f>
        <v>0</v>
      </c>
      <c r="M31" s="43">
        <f ca="1">COUNTIF(区分値項目KEY,A31)</f>
        <v>0</v>
      </c>
      <c r="N31"/>
      <c r="O31"/>
    </row>
    <row r="32" spans="1:15" ht="18" x14ac:dyDescent="0.55000000000000004">
      <c r="A32" s="38"/>
      <c r="B32" s="38"/>
      <c r="C32" s="42" t="str">
        <f t="shared" si="0"/>
        <v/>
      </c>
      <c r="D32" s="38"/>
      <c r="E32" s="38"/>
      <c r="F32" s="38"/>
      <c r="G32" s="38"/>
      <c r="H32" s="38"/>
      <c r="I32" s="38"/>
      <c r="J32" s="39"/>
      <c r="K32" s="38"/>
      <c r="L32" s="43">
        <f ca="1">COUNTIF(派生元項目KEY,A32)</f>
        <v>0</v>
      </c>
      <c r="M32" s="43">
        <f ca="1">COUNTIF(区分値項目KEY,A32)</f>
        <v>0</v>
      </c>
      <c r="N32"/>
      <c r="O32"/>
    </row>
    <row r="33" spans="1:15" ht="18" x14ac:dyDescent="0.55000000000000004">
      <c r="A33" s="38"/>
      <c r="B33" s="38"/>
      <c r="C33" s="42" t="str">
        <f t="shared" si="0"/>
        <v/>
      </c>
      <c r="D33" s="38"/>
      <c r="E33" s="38"/>
      <c r="F33" s="38"/>
      <c r="G33" s="38"/>
      <c r="H33" s="38"/>
      <c r="I33" s="38"/>
      <c r="J33" s="39"/>
      <c r="K33" s="38"/>
      <c r="L33" s="43">
        <f ca="1">COUNTIF(派生元項目KEY,A33)</f>
        <v>0</v>
      </c>
      <c r="M33" s="43">
        <f ca="1">COUNTIF(区分値項目KEY,A33)</f>
        <v>0</v>
      </c>
      <c r="N33"/>
      <c r="O33"/>
    </row>
    <row r="34" spans="1:15" ht="18" x14ac:dyDescent="0.55000000000000004">
      <c r="A34" s="38"/>
      <c r="B34" s="38"/>
      <c r="C34" s="42" t="str">
        <f t="shared" ref="C34:C65" si="1">camel2snake(B34)</f>
        <v/>
      </c>
      <c r="D34" s="38"/>
      <c r="E34" s="38"/>
      <c r="F34" s="38"/>
      <c r="G34" s="38"/>
      <c r="H34" s="38"/>
      <c r="I34" s="38"/>
      <c r="J34" s="39"/>
      <c r="K34" s="38"/>
      <c r="L34" s="43">
        <f ca="1">COUNTIF(派生元項目KEY,A34)</f>
        <v>0</v>
      </c>
      <c r="M34" s="43">
        <f ca="1">COUNTIF(区分値項目KEY,A34)</f>
        <v>0</v>
      </c>
      <c r="N34"/>
      <c r="O34"/>
    </row>
    <row r="35" spans="1:15" ht="18" x14ac:dyDescent="0.55000000000000004">
      <c r="A35" s="38"/>
      <c r="B35" s="38"/>
      <c r="C35" s="42" t="str">
        <f t="shared" si="1"/>
        <v/>
      </c>
      <c r="D35" s="38"/>
      <c r="E35" s="38"/>
      <c r="F35" s="38"/>
      <c r="G35" s="38"/>
      <c r="H35" s="38"/>
      <c r="I35" s="38"/>
      <c r="J35" s="39"/>
      <c r="K35" s="38"/>
      <c r="L35" s="43">
        <f ca="1">COUNTIF(派生元項目KEY,A35)</f>
        <v>0</v>
      </c>
      <c r="M35" s="43">
        <f ca="1">COUNTIF(区分値項目KEY,A35)</f>
        <v>0</v>
      </c>
      <c r="N35"/>
      <c r="O35"/>
    </row>
    <row r="36" spans="1:15" ht="18" x14ac:dyDescent="0.55000000000000004">
      <c r="A36" s="38"/>
      <c r="B36" s="38"/>
      <c r="C36" s="42" t="str">
        <f t="shared" si="1"/>
        <v/>
      </c>
      <c r="D36" s="38"/>
      <c r="E36" s="38"/>
      <c r="F36" s="38"/>
      <c r="G36" s="38"/>
      <c r="H36" s="38"/>
      <c r="I36" s="38"/>
      <c r="J36" s="39"/>
      <c r="K36" s="38"/>
      <c r="L36" s="43">
        <f ca="1">COUNTIF(派生元項目KEY,A36)</f>
        <v>0</v>
      </c>
      <c r="M36" s="43">
        <f ca="1">COUNTIF(区分値項目KEY,A36)</f>
        <v>0</v>
      </c>
      <c r="N36"/>
      <c r="O36"/>
    </row>
    <row r="37" spans="1:15" ht="18" x14ac:dyDescent="0.55000000000000004">
      <c r="A37" s="38"/>
      <c r="B37" s="38"/>
      <c r="C37" s="42" t="str">
        <f t="shared" si="1"/>
        <v/>
      </c>
      <c r="D37" s="38"/>
      <c r="E37" s="38"/>
      <c r="F37" s="38"/>
      <c r="G37" s="38"/>
      <c r="H37" s="38"/>
      <c r="I37" s="38"/>
      <c r="J37" s="39"/>
      <c r="K37" s="38"/>
      <c r="L37" s="43">
        <f ca="1">COUNTIF(派生元項目KEY,A37)</f>
        <v>0</v>
      </c>
      <c r="M37" s="43">
        <f ca="1">COUNTIF(区分値項目KEY,A37)</f>
        <v>0</v>
      </c>
      <c r="N37"/>
      <c r="O37"/>
    </row>
    <row r="38" spans="1:15" ht="18" x14ac:dyDescent="0.55000000000000004">
      <c r="A38" s="38"/>
      <c r="B38" s="38"/>
      <c r="C38" s="42" t="str">
        <f t="shared" si="1"/>
        <v/>
      </c>
      <c r="D38" s="38"/>
      <c r="E38" s="38"/>
      <c r="F38" s="38"/>
      <c r="G38" s="38"/>
      <c r="H38" s="38"/>
      <c r="I38" s="38"/>
      <c r="J38" s="39"/>
      <c r="K38" s="38"/>
      <c r="L38" s="43">
        <f ca="1">COUNTIF(派生元項目KEY,A38)</f>
        <v>0</v>
      </c>
      <c r="M38" s="43">
        <f ca="1">COUNTIF(区分値項目KEY,A38)</f>
        <v>0</v>
      </c>
      <c r="N38"/>
      <c r="O38"/>
    </row>
    <row r="39" spans="1:15" ht="18" x14ac:dyDescent="0.55000000000000004">
      <c r="A39" s="38"/>
      <c r="B39" s="38"/>
      <c r="C39" s="42" t="str">
        <f t="shared" si="1"/>
        <v/>
      </c>
      <c r="D39" s="38"/>
      <c r="E39" s="38"/>
      <c r="F39" s="38"/>
      <c r="G39" s="38"/>
      <c r="H39" s="38"/>
      <c r="I39" s="38"/>
      <c r="J39" s="39"/>
      <c r="K39" s="38"/>
      <c r="L39" s="43">
        <f ca="1">COUNTIF(派生元項目KEY,A39)</f>
        <v>0</v>
      </c>
      <c r="M39" s="43">
        <f ca="1">COUNTIF(区分値項目KEY,A39)</f>
        <v>0</v>
      </c>
      <c r="N39"/>
      <c r="O39"/>
    </row>
    <row r="40" spans="1:15" ht="18" x14ac:dyDescent="0.55000000000000004">
      <c r="A40" s="38"/>
      <c r="B40" s="38"/>
      <c r="C40" s="42" t="str">
        <f t="shared" si="1"/>
        <v/>
      </c>
      <c r="D40" s="38"/>
      <c r="E40" s="38"/>
      <c r="F40" s="38"/>
      <c r="G40" s="38"/>
      <c r="H40" s="38"/>
      <c r="I40" s="38"/>
      <c r="J40" s="39"/>
      <c r="K40" s="38"/>
      <c r="L40" s="43">
        <f ca="1">COUNTIF(派生元項目KEY,A40)</f>
        <v>0</v>
      </c>
      <c r="M40" s="43">
        <f ca="1">COUNTIF(区分値項目KEY,A40)</f>
        <v>0</v>
      </c>
      <c r="N40"/>
      <c r="O40"/>
    </row>
    <row r="41" spans="1:15" ht="18" x14ac:dyDescent="0.55000000000000004">
      <c r="A41" s="38"/>
      <c r="B41" s="38"/>
      <c r="C41" s="42" t="str">
        <f t="shared" si="1"/>
        <v/>
      </c>
      <c r="D41" s="38"/>
      <c r="E41" s="38"/>
      <c r="F41" s="38"/>
      <c r="G41" s="38"/>
      <c r="H41" s="38"/>
      <c r="I41" s="38"/>
      <c r="J41" s="39"/>
      <c r="K41" s="38"/>
      <c r="L41" s="43">
        <f ca="1">COUNTIF(派生元項目KEY,A41)</f>
        <v>0</v>
      </c>
      <c r="M41" s="43">
        <f ca="1">COUNTIF(区分値項目KEY,A41)</f>
        <v>0</v>
      </c>
      <c r="N41"/>
      <c r="O41"/>
    </row>
    <row r="42" spans="1:15" ht="18" x14ac:dyDescent="0.55000000000000004">
      <c r="A42" s="38"/>
      <c r="B42" s="38"/>
      <c r="C42" s="42" t="str">
        <f t="shared" si="1"/>
        <v/>
      </c>
      <c r="D42" s="38"/>
      <c r="E42" s="38"/>
      <c r="F42" s="38"/>
      <c r="G42" s="38"/>
      <c r="H42" s="38"/>
      <c r="I42" s="38"/>
      <c r="J42" s="39"/>
      <c r="K42" s="38"/>
      <c r="L42" s="43">
        <f ca="1">COUNTIF(派生元項目KEY,A42)</f>
        <v>0</v>
      </c>
      <c r="M42" s="43">
        <f ca="1">COUNTIF(区分値項目KEY,A42)</f>
        <v>0</v>
      </c>
      <c r="N42"/>
      <c r="O42"/>
    </row>
    <row r="43" spans="1:15" ht="18" x14ac:dyDescent="0.55000000000000004">
      <c r="A43" s="38"/>
      <c r="B43" s="38"/>
      <c r="C43" s="42" t="str">
        <f t="shared" si="1"/>
        <v/>
      </c>
      <c r="D43" s="38"/>
      <c r="E43" s="38"/>
      <c r="F43" s="38"/>
      <c r="G43" s="38"/>
      <c r="H43" s="38"/>
      <c r="I43" s="38"/>
      <c r="J43" s="39"/>
      <c r="K43" s="38"/>
      <c r="L43" s="43">
        <f ca="1">COUNTIF(派生元項目KEY,A43)</f>
        <v>0</v>
      </c>
      <c r="M43" s="43">
        <f ca="1">COUNTIF(区分値項目KEY,A43)</f>
        <v>0</v>
      </c>
      <c r="N43"/>
      <c r="O43"/>
    </row>
    <row r="44" spans="1:15" ht="18" x14ac:dyDescent="0.55000000000000004">
      <c r="A44" s="38"/>
      <c r="B44" s="38"/>
      <c r="C44" s="42" t="str">
        <f t="shared" si="1"/>
        <v/>
      </c>
      <c r="D44" s="38"/>
      <c r="E44" s="38"/>
      <c r="F44" s="38"/>
      <c r="G44" s="38"/>
      <c r="H44" s="38"/>
      <c r="I44" s="38"/>
      <c r="J44" s="39"/>
      <c r="K44" s="38"/>
      <c r="L44" s="43">
        <f ca="1">COUNTIF(派生元項目KEY,A44)</f>
        <v>0</v>
      </c>
      <c r="M44" s="43">
        <f ca="1">COUNTIF(区分値項目KEY,A44)</f>
        <v>0</v>
      </c>
      <c r="N44"/>
      <c r="O44"/>
    </row>
    <row r="45" spans="1:15" ht="18" x14ac:dyDescent="0.55000000000000004">
      <c r="A45" s="38"/>
      <c r="B45" s="38"/>
      <c r="C45" s="42" t="str">
        <f t="shared" si="1"/>
        <v/>
      </c>
      <c r="D45" s="38"/>
      <c r="E45" s="38"/>
      <c r="F45" s="38"/>
      <c r="G45" s="38"/>
      <c r="H45" s="38"/>
      <c r="I45" s="38"/>
      <c r="J45" s="39"/>
      <c r="K45" s="38"/>
      <c r="L45" s="43">
        <f ca="1">COUNTIF(派生元項目KEY,A45)</f>
        <v>0</v>
      </c>
      <c r="M45" s="43">
        <f ca="1">COUNTIF(区分値項目KEY,A45)</f>
        <v>0</v>
      </c>
      <c r="N45"/>
      <c r="O45"/>
    </row>
    <row r="46" spans="1:15" ht="18" x14ac:dyDescent="0.55000000000000004">
      <c r="A46" s="38"/>
      <c r="B46" s="38"/>
      <c r="C46" s="42" t="str">
        <f t="shared" si="1"/>
        <v/>
      </c>
      <c r="D46" s="38"/>
      <c r="E46" s="38"/>
      <c r="F46" s="38"/>
      <c r="G46" s="38"/>
      <c r="H46" s="38"/>
      <c r="I46" s="38"/>
      <c r="J46" s="39"/>
      <c r="K46" s="38"/>
      <c r="L46" s="43">
        <f ca="1">COUNTIF(派生元項目KEY,A46)</f>
        <v>0</v>
      </c>
      <c r="M46" s="43">
        <f ca="1">COUNTIF(区分値項目KEY,A46)</f>
        <v>0</v>
      </c>
      <c r="N46"/>
      <c r="O46"/>
    </row>
    <row r="47" spans="1:15" ht="18" x14ac:dyDescent="0.55000000000000004">
      <c r="A47" s="38"/>
      <c r="B47" s="38"/>
      <c r="C47" s="42" t="str">
        <f t="shared" si="1"/>
        <v/>
      </c>
      <c r="D47" s="38"/>
      <c r="E47" s="38"/>
      <c r="F47" s="38"/>
      <c r="G47" s="38"/>
      <c r="H47" s="38"/>
      <c r="I47" s="38"/>
      <c r="J47" s="39"/>
      <c r="K47" s="38"/>
      <c r="L47" s="43">
        <f ca="1">COUNTIF(派生元項目KEY,A47)</f>
        <v>0</v>
      </c>
      <c r="M47" s="43">
        <f ca="1">COUNTIF(区分値項目KEY,A47)</f>
        <v>0</v>
      </c>
      <c r="N47"/>
      <c r="O47"/>
    </row>
    <row r="48" spans="1:15" ht="18" x14ac:dyDescent="0.55000000000000004">
      <c r="A48" s="38"/>
      <c r="B48" s="38"/>
      <c r="C48" s="42" t="str">
        <f t="shared" si="1"/>
        <v/>
      </c>
      <c r="D48" s="38"/>
      <c r="E48" s="38"/>
      <c r="F48" s="38"/>
      <c r="G48" s="38"/>
      <c r="H48" s="38"/>
      <c r="I48" s="38"/>
      <c r="J48" s="39"/>
      <c r="K48" s="38"/>
      <c r="L48" s="43">
        <f ca="1">COUNTIF(派生元項目KEY,A48)</f>
        <v>0</v>
      </c>
      <c r="M48" s="43">
        <f ca="1">COUNTIF(区分値項目KEY,A48)</f>
        <v>0</v>
      </c>
      <c r="N48"/>
      <c r="O48"/>
    </row>
    <row r="49" spans="1:15" ht="18" x14ac:dyDescent="0.55000000000000004">
      <c r="A49" s="38"/>
      <c r="B49" s="38"/>
      <c r="C49" s="42" t="str">
        <f t="shared" si="1"/>
        <v/>
      </c>
      <c r="D49" s="38"/>
      <c r="E49" s="38"/>
      <c r="F49" s="38"/>
      <c r="G49" s="38"/>
      <c r="H49" s="38"/>
      <c r="I49" s="38"/>
      <c r="J49" s="39"/>
      <c r="K49" s="38"/>
      <c r="L49" s="43">
        <f ca="1">COUNTIF(派生元項目KEY,A49)</f>
        <v>0</v>
      </c>
      <c r="M49" s="43">
        <f ca="1">COUNTIF(区分値項目KEY,A49)</f>
        <v>0</v>
      </c>
      <c r="N49"/>
      <c r="O49"/>
    </row>
    <row r="50" spans="1:15" ht="18" x14ac:dyDescent="0.55000000000000004">
      <c r="A50" s="38"/>
      <c r="B50" s="38"/>
      <c r="C50" s="42" t="str">
        <f t="shared" si="1"/>
        <v/>
      </c>
      <c r="D50" s="38"/>
      <c r="E50" s="38"/>
      <c r="F50" s="38"/>
      <c r="G50" s="38"/>
      <c r="H50" s="38"/>
      <c r="I50" s="38"/>
      <c r="J50" s="39"/>
      <c r="K50" s="38"/>
      <c r="L50" s="43">
        <f ca="1">COUNTIF(派生元項目KEY,A50)</f>
        <v>0</v>
      </c>
      <c r="M50" s="43">
        <f ca="1">COUNTIF(区分値項目KEY,A50)</f>
        <v>0</v>
      </c>
      <c r="N50"/>
      <c r="O50"/>
    </row>
    <row r="51" spans="1:15" ht="18" x14ac:dyDescent="0.55000000000000004">
      <c r="A51" s="38"/>
      <c r="B51" s="38"/>
      <c r="C51" s="42" t="str">
        <f t="shared" si="1"/>
        <v/>
      </c>
      <c r="D51" s="38"/>
      <c r="E51" s="38"/>
      <c r="F51" s="38"/>
      <c r="G51" s="38"/>
      <c r="H51" s="38"/>
      <c r="I51" s="38"/>
      <c r="J51" s="39"/>
      <c r="K51" s="38"/>
      <c r="L51" s="43">
        <f ca="1">COUNTIF(派生元項目KEY,A51)</f>
        <v>0</v>
      </c>
      <c r="M51" s="43">
        <f ca="1">COUNTIF(区分値項目KEY,A51)</f>
        <v>0</v>
      </c>
      <c r="N51"/>
      <c r="O51"/>
    </row>
    <row r="52" spans="1:15" ht="18" x14ac:dyDescent="0.55000000000000004">
      <c r="A52" s="38"/>
      <c r="B52" s="38"/>
      <c r="C52" s="42" t="str">
        <f t="shared" si="1"/>
        <v/>
      </c>
      <c r="D52" s="38"/>
      <c r="E52" s="38"/>
      <c r="F52" s="38"/>
      <c r="G52" s="38"/>
      <c r="H52" s="38"/>
      <c r="I52" s="38"/>
      <c r="J52" s="39"/>
      <c r="K52" s="38"/>
      <c r="L52" s="43">
        <f ca="1">COUNTIF(派生元項目KEY,A52)</f>
        <v>0</v>
      </c>
      <c r="M52" s="43">
        <f ca="1">COUNTIF(区分値項目KEY,A52)</f>
        <v>0</v>
      </c>
      <c r="N52"/>
      <c r="O52"/>
    </row>
    <row r="53" spans="1:15" ht="18" x14ac:dyDescent="0.55000000000000004">
      <c r="A53" s="38"/>
      <c r="B53" s="38"/>
      <c r="C53" s="42" t="str">
        <f t="shared" si="1"/>
        <v/>
      </c>
      <c r="D53" s="38"/>
      <c r="E53" s="38"/>
      <c r="F53" s="38"/>
      <c r="G53" s="38"/>
      <c r="H53" s="38"/>
      <c r="I53" s="38"/>
      <c r="J53" s="39"/>
      <c r="K53" s="38"/>
      <c r="L53" s="43">
        <f ca="1">COUNTIF(派生元項目KEY,A53)</f>
        <v>0</v>
      </c>
      <c r="M53" s="43">
        <f ca="1">COUNTIF(区分値項目KEY,A53)</f>
        <v>0</v>
      </c>
      <c r="N53"/>
      <c r="O53"/>
    </row>
    <row r="54" spans="1:15" ht="18" x14ac:dyDescent="0.55000000000000004">
      <c r="A54" s="38"/>
      <c r="B54" s="38"/>
      <c r="C54" s="42" t="str">
        <f t="shared" si="1"/>
        <v/>
      </c>
      <c r="D54" s="38"/>
      <c r="E54" s="38"/>
      <c r="F54" s="38"/>
      <c r="G54" s="38"/>
      <c r="H54" s="38"/>
      <c r="I54" s="38"/>
      <c r="J54" s="39"/>
      <c r="K54" s="38"/>
      <c r="L54" s="43">
        <f ca="1">COUNTIF(派生元項目KEY,A54)</f>
        <v>0</v>
      </c>
      <c r="M54" s="43">
        <f ca="1">COUNTIF(区分値項目KEY,A54)</f>
        <v>0</v>
      </c>
      <c r="N54"/>
      <c r="O54"/>
    </row>
    <row r="55" spans="1:15" ht="18" x14ac:dyDescent="0.55000000000000004">
      <c r="A55" s="38"/>
      <c r="B55" s="38"/>
      <c r="C55" s="42" t="str">
        <f t="shared" si="1"/>
        <v/>
      </c>
      <c r="D55" s="38"/>
      <c r="E55" s="38"/>
      <c r="F55" s="38"/>
      <c r="G55" s="38"/>
      <c r="H55" s="38"/>
      <c r="I55" s="38"/>
      <c r="J55" s="39"/>
      <c r="K55" s="38"/>
      <c r="L55" s="43">
        <f ca="1">COUNTIF(派生元項目KEY,A55)</f>
        <v>0</v>
      </c>
      <c r="M55" s="43">
        <f ca="1">COUNTIF(区分値項目KEY,A55)</f>
        <v>0</v>
      </c>
      <c r="N55"/>
      <c r="O55"/>
    </row>
    <row r="56" spans="1:15" ht="18" x14ac:dyDescent="0.55000000000000004">
      <c r="A56" s="38"/>
      <c r="B56" s="38"/>
      <c r="C56" s="42" t="str">
        <f t="shared" si="1"/>
        <v/>
      </c>
      <c r="D56" s="38"/>
      <c r="E56" s="38"/>
      <c r="F56" s="38"/>
      <c r="G56" s="38"/>
      <c r="H56" s="38"/>
      <c r="I56" s="38"/>
      <c r="J56" s="39"/>
      <c r="K56" s="38"/>
      <c r="L56" s="43">
        <f ca="1">COUNTIF(派生元項目KEY,A56)</f>
        <v>0</v>
      </c>
      <c r="M56" s="43">
        <f ca="1">COUNTIF(区分値項目KEY,A56)</f>
        <v>0</v>
      </c>
      <c r="N56"/>
      <c r="O56"/>
    </row>
    <row r="57" spans="1:15" ht="18" x14ac:dyDescent="0.55000000000000004">
      <c r="A57" s="40"/>
      <c r="B57" s="40"/>
      <c r="C57" s="33" t="str">
        <f t="shared" si="1"/>
        <v/>
      </c>
      <c r="D57" s="40"/>
      <c r="E57" s="40"/>
      <c r="F57" s="40"/>
      <c r="G57" s="40"/>
      <c r="H57" s="40"/>
      <c r="I57" s="40"/>
      <c r="J57" s="41"/>
      <c r="K57" s="40"/>
      <c r="L57" s="34">
        <f ca="1">COUNTIF(派生元項目KEY,A57)</f>
        <v>0</v>
      </c>
      <c r="M57" s="34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5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5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5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5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5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5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5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5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5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5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5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5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5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5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5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5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5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5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5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5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5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5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5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5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5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5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5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5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5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5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5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5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5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5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5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5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5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5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5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5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5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5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5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5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5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5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5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5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5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5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5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5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5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5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5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5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5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5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5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5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5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5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5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5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5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5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5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5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5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5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5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5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5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5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5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5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5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5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5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5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5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5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5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5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5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5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5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5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5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5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5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5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5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5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5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5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5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5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5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5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5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5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5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5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5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5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5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5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5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5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5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5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5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5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5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5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5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5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5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5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5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5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5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5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5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5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5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5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5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5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5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5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5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5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5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5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5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5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5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5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5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5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5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5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5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5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5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5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5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5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5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5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5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5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5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5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5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5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5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5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5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5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5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5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5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5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5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5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5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5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5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5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5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5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5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5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5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5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5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5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5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5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5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5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5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5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5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5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5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5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5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5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5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5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5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5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5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5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5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5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5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5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5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5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5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5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5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5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5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5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5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5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5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5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5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5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5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5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5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5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5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5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5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5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5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5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5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5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5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5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5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5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5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5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5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5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5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5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5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5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5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5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5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5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5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5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5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5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5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5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5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5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5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5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5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5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5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5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5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5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5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5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5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5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5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5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5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5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5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5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5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5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5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5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5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5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5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5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5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5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5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5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5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5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5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5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5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5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5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5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5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5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5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5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5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5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5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5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5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5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5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5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5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5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5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5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5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5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5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5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5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5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5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5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5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5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5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5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5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5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5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5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5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5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5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5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5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5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5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5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5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5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5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5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5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5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5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5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5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5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5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5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5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5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5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5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5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5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5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5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5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5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5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5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5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5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5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5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5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5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5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5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5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5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5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5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5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5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5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5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5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5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5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5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5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5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5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5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5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5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5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5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5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5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5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5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5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5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5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5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5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5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5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5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5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5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5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5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5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5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5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5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5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5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5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5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5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5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5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5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5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5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5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5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5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5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5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5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5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5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5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5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5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5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5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5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5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5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5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5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5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5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5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5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5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5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5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5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5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5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5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5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5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5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5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5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5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5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5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5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5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5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5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5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5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5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5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5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5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5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5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5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5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5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5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5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5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5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5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5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5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5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5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5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5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5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5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5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5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5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5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5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5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5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5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5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5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5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5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5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5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5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5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5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5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5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5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5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5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5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5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5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5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5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5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5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5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5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5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5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5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5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5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5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5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5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5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5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5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5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5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5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5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5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5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5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5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5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5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5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5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5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5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5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5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5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5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5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5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5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5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5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5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5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5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5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5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5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5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5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5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5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5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5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5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5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5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5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5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5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5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5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5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5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5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5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5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5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5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5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5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5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5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5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5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5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5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5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5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5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5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5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5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5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5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5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5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5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5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5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5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5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5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5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5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5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5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5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5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5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5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5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5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5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5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5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5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5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5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5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5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5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5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5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5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5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5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5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5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5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5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5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5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5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5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5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5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5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5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5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5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5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5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5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5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5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5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5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5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5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5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5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5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5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5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5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5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5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5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5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5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5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5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5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5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5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5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5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5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5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5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5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5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5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5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5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5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5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5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5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5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5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5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5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5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5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5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5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5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5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5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5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5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5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5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5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5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5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5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5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5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5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5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5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5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5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5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5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5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5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5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5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5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5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5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5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5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5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5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5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5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5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5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5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5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5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5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5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5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5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5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5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5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5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5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5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5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5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5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5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5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5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5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5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5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5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5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5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5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5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5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5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5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5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5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5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5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5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5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5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5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5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5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5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5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5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5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5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5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5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5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5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5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5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5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5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5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5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5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5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5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5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5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5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5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5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5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5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5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5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5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5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5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5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5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5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5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5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5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5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5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5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5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5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5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5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5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5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5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5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5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5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5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5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5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5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5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5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5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5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5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5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5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5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5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5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5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5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5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5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5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5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5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5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5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5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5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5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5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5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5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5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5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5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5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5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5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5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5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5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5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5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5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5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5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5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5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5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5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5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5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5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5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5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5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5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5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5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5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5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5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5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5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5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5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5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5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5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5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5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5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5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5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5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5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5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5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5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5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5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5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5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5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5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5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5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5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5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5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5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5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5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5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5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5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5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5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5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5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5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5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5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5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5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5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5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5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5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5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5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5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5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5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5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5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5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5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5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5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5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5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5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5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5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5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5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5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5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5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5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5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5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5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5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5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5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5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5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5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5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5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5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5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5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5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5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5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5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5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5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5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5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5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5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5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5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5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5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5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5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5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5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5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5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5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5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5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5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5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5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5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5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5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5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5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5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5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5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5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5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5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5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5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5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5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5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5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5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5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5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5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5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5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5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5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5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5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5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5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5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5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5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5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5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5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5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5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5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5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5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5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5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5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5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5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5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5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5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5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5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5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5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5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5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5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5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5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5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5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5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5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5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5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5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5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5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5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5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5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5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5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5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5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5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5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5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5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5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5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5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5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5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5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5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5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5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5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5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5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5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5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5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5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5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5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5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5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5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5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5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5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5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5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5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5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5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5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5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5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5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5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5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5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5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5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5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5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5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5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5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5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5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5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5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5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5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5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5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5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5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5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5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5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5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5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5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5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5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5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5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5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5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5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5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5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5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5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5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5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5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5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5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5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5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5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5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5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5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5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5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5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5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5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5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5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5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5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5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5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5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5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5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5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5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5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5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5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5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5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5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5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5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5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5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5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5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5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5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5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5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5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5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5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5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5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5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5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5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5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5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5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5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5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5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5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5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5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5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5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5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5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5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5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5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5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5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5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5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5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5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5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5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5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5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5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5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5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5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5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5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5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5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5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5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5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5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5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5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5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5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5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5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5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5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5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5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5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5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5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5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5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5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5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5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5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5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5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5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5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5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5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5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5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5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5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5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5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5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5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5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5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5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5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5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5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5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5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5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5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5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5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5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5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5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5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5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5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5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5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5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5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5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5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5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5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5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5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5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5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5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5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5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5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5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5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5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5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5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5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5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5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5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5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5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5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5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5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5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5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5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5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5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5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5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5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5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5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5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5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5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5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5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5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5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5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5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5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5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5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5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5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5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5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5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5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5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5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5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5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5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5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5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5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5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5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5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5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5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5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5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5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5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5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5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5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5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5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5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5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5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5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5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5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5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5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5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5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5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5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5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5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5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5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5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5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5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5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5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5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5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5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5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5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5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5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5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5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5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5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5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5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5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5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5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5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5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5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5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5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5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5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5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5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5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5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5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5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5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5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5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5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5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5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5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5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5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5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5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5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5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5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5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5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5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5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5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5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5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5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5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5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5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5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5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5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5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5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5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5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5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5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5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5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5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5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5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5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5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5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5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5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5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5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5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5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5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5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5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5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5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5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5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5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5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5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5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5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5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5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5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5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5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5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5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5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5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5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5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5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5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5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5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5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5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5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5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5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5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5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5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5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5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5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5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5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5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5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5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5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5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5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5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5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5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5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5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5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5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5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5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5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5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5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5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5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5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5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5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5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5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5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5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5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5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5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5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5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5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5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5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5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5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5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5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5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5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5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5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5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5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5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5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5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5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5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5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5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5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5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5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5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5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5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5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5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5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5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5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5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5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5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5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5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5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5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5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5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5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5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5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5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5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5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5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5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5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5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5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5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5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5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5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5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5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5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5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5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5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5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5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5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5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5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5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5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5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5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5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5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5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5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5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5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5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5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5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5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5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5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5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5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5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5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5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5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5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5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5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5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5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5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5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5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5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5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5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5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5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5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5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5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5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5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5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5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5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5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5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5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5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5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5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5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5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5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5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5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5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5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5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5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5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5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5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5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5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5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5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5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5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5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5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5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5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5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5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5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5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5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5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5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5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5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5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5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5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5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5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5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5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5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5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5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5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5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5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5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5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5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5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5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5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5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5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5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5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5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5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5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5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5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5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5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5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5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5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5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5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5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5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5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5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5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5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5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5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5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5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5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5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5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5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5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5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5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5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5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5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5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5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5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5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5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5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5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5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5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5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5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5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5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5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5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5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5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5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5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5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5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5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5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5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5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5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5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5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5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5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5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5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5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5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5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5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5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5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5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5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5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5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5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5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5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5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5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5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5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5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5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5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5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5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5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5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5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5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5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5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5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5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5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5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5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5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5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5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5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5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5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5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5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5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5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5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5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5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5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5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5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5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5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5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5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5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5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5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5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5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5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5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5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5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5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5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5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5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5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5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5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5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5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5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5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5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5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5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5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5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5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5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5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5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5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5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5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5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5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5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5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5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5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5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5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5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5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5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5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5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5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5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5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5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5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5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5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5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5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5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5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5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5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5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5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5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5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5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5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5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5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5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5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5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5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5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5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5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5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5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5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5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5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5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5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5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5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5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5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5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5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5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5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5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5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5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5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5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5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5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5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5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5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5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5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5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5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5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5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5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5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5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5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5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5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5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5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5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5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5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5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5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5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5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5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5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5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5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5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5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5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5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5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5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5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5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5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5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5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5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5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5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5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5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5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5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5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5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5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5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5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5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5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5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5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5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5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5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5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5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5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5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5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5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5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5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5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5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5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5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5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5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5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5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5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5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5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5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5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5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5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5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5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5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5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5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5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5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5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5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5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5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5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5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5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5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5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5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5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5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5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5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5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5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5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5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5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5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5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5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5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5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5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5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5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5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5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5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5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5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5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5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5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5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5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5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5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5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5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5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5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5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5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5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5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5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5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5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5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5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5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5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5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5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5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5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5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5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5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5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5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5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5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5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5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5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5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5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5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5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5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5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5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5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5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5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5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5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5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5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5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5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5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5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5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5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5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5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5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5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5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5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5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5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5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5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5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5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5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5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5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5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5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5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5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5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5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5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5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5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5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5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5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5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5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5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5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5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5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5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5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5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5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5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5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5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5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5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5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5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5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5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5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5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5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5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5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5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5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5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5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5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5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5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5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5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5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5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5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5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5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5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5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5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5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5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5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5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5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5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5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5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5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5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5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5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5"/>
      <c r="K2372"/>
      <c r="L2372"/>
      <c r="M2372"/>
      <c r="N2372"/>
      <c r="O2372"/>
    </row>
    <row r="2373" spans="1:15" ht="18" x14ac:dyDescent="0.55000000000000004">
      <c r="A2373"/>
      <c r="B2373"/>
      <c r="C2373"/>
      <c r="D2373"/>
      <c r="E2373"/>
      <c r="F2373"/>
      <c r="G2373"/>
      <c r="H2373"/>
      <c r="I2373"/>
      <c r="J2373" s="35"/>
      <c r="K2373"/>
      <c r="L2373"/>
      <c r="M2373"/>
      <c r="N2373"/>
      <c r="O2373"/>
    </row>
    <row r="2374" spans="1:15" ht="18" x14ac:dyDescent="0.55000000000000004">
      <c r="A2374"/>
      <c r="B2374"/>
      <c r="C2374"/>
      <c r="D2374"/>
      <c r="E2374"/>
      <c r="F2374"/>
      <c r="G2374"/>
      <c r="H2374"/>
      <c r="I2374"/>
      <c r="J2374" s="35"/>
      <c r="K2374"/>
      <c r="L2374"/>
      <c r="M2374"/>
      <c r="N2374"/>
      <c r="O2374"/>
    </row>
    <row r="2375" spans="1:15" ht="18" x14ac:dyDescent="0.55000000000000004">
      <c r="A2375"/>
      <c r="B2375"/>
      <c r="C2375"/>
      <c r="D2375"/>
      <c r="E2375"/>
      <c r="F2375"/>
      <c r="G2375"/>
      <c r="H2375"/>
      <c r="I2375"/>
      <c r="J2375" s="35"/>
      <c r="K2375"/>
      <c r="L2375"/>
      <c r="M2375"/>
      <c r="N2375"/>
      <c r="O2375"/>
    </row>
    <row r="2376" spans="1:15" ht="18" x14ac:dyDescent="0.55000000000000004">
      <c r="A2376"/>
      <c r="B2376"/>
      <c r="C2376"/>
      <c r="D2376"/>
      <c r="E2376"/>
      <c r="F2376"/>
      <c r="G2376"/>
      <c r="H2376"/>
      <c r="I2376"/>
      <c r="J2376" s="35"/>
      <c r="K2376"/>
      <c r="L2376"/>
      <c r="M2376"/>
      <c r="N2376"/>
      <c r="O2376"/>
    </row>
    <row r="2377" spans="1:15" ht="18" x14ac:dyDescent="0.55000000000000004">
      <c r="A2377"/>
      <c r="B2377"/>
      <c r="C2377"/>
      <c r="D2377"/>
      <c r="E2377"/>
      <c r="F2377"/>
      <c r="G2377"/>
      <c r="H2377"/>
      <c r="I2377"/>
      <c r="J2377" s="35"/>
      <c r="K2377"/>
      <c r="L2377"/>
      <c r="M2377"/>
      <c r="N2377"/>
      <c r="O2377"/>
    </row>
    <row r="2378" spans="1:15" ht="18" x14ac:dyDescent="0.55000000000000004">
      <c r="A2378"/>
      <c r="B2378"/>
      <c r="C2378"/>
      <c r="D2378"/>
      <c r="E2378"/>
      <c r="F2378"/>
      <c r="G2378"/>
      <c r="H2378"/>
      <c r="I2378"/>
      <c r="J2378" s="35"/>
      <c r="K2378"/>
      <c r="L2378"/>
      <c r="M2378"/>
      <c r="N2378"/>
      <c r="O2378"/>
    </row>
    <row r="2379" spans="1:15" ht="18" x14ac:dyDescent="0.55000000000000004">
      <c r="A2379"/>
      <c r="B2379"/>
      <c r="C2379"/>
      <c r="D2379"/>
      <c r="E2379"/>
      <c r="F2379"/>
      <c r="G2379"/>
      <c r="H2379"/>
      <c r="I2379"/>
      <c r="J2379" s="35"/>
      <c r="K2379"/>
      <c r="L2379"/>
      <c r="M2379"/>
      <c r="N2379"/>
      <c r="O2379"/>
    </row>
    <row r="2380" spans="1:15" ht="18" x14ac:dyDescent="0.55000000000000004">
      <c r="A2380"/>
      <c r="B2380"/>
      <c r="C2380"/>
      <c r="D2380"/>
      <c r="E2380"/>
      <c r="F2380"/>
      <c r="G2380"/>
      <c r="H2380"/>
      <c r="I2380"/>
      <c r="J2380" s="35"/>
      <c r="K2380"/>
      <c r="L2380"/>
      <c r="M2380"/>
      <c r="N2380"/>
      <c r="O2380"/>
    </row>
    <row r="2381" spans="1:15" ht="18" x14ac:dyDescent="0.55000000000000004">
      <c r="A2381"/>
      <c r="B2381"/>
      <c r="C2381"/>
      <c r="D2381"/>
      <c r="E2381"/>
      <c r="F2381"/>
      <c r="G2381"/>
      <c r="H2381"/>
      <c r="I2381"/>
      <c r="J2381" s="35"/>
      <c r="K2381"/>
      <c r="L2381"/>
      <c r="M2381"/>
      <c r="N2381"/>
      <c r="O2381"/>
    </row>
    <row r="2382" spans="1:15" ht="18" x14ac:dyDescent="0.55000000000000004">
      <c r="A2382"/>
      <c r="B2382"/>
      <c r="C2382"/>
      <c r="D2382"/>
      <c r="E2382"/>
      <c r="F2382"/>
      <c r="G2382"/>
      <c r="H2382"/>
      <c r="I2382"/>
      <c r="J2382" s="35"/>
      <c r="K2382"/>
      <c r="L2382"/>
      <c r="M2382"/>
      <c r="N2382"/>
      <c r="O2382"/>
    </row>
  </sheetData>
  <phoneticPr fontId="1"/>
  <conditionalFormatting sqref="D2:D57">
    <cfRule type="expression" dxfId="6" priority="1" stopIfTrue="1">
      <formula>AND(D2&lt;&gt;"",ISNA(MATCH(D2,ドメインタイプKEY,0)))</formula>
    </cfRule>
  </conditionalFormatting>
  <conditionalFormatting sqref="B2:B57 D2:D57 J2:K57">
    <cfRule type="expression" dxfId="5" priority="2" stopIfTrue="1">
      <formula>AND($A2&lt;&gt;"",B2="")</formula>
    </cfRule>
  </conditionalFormatting>
  <conditionalFormatting sqref="E22 F2:G2 F12:G12 G14 F15:G15 G16 F17:G17 G18 F26:G26">
    <cfRule type="containsBlanks" dxfId="4" priority="3" stopIfTrue="1">
      <formula>LEN(TRIM(E2))=0</formula>
    </cfRule>
  </conditionalFormatting>
  <dataValidations count="9">
    <dataValidation imeMode="on" allowBlank="1" showInputMessage="1" showErrorMessage="1" sqref="A2383:A1048576 A1 K1 K2383:K1048576" xr:uid="{82371562-DA48-418A-B9E1-F875CA10CC30}"/>
    <dataValidation imeMode="off" allowBlank="1" showInputMessage="1" showErrorMessage="1" sqref="E1:J1 E2383:J1048576 B1 B2383:B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23A6E103-DD82-4B11-889D-B6FF411A9125}"/>
    <dataValidation imeMode="off" allowBlank="1" showInputMessage="1" showErrorMessage="1" sqref="B2:B57" xr:uid="{48059F48-23E9-4214-A5A3-1DF93912A3D1}"/>
    <dataValidation imeMode="off" allowBlank="1" showInputMessage="1" showErrorMessage="1" sqref="E22 E7 E14 E16 E18" xr:uid="{238AE4F9-ACF6-4258-8E19-F6D02BA8FBE1}"/>
    <dataValidation type="whole" imeMode="off" allowBlank="1" showInputMessage="1" showErrorMessage="1" error="1-1000の間で入力可能" sqref="F2:G2 F12:G12 F26:G26 F6:G6 F7 F9:G9 F14:G18 F24:G24" xr:uid="{4019BD6E-8599-4B89-BA53-2998B2AB9142}">
      <formula1>1</formula1>
      <formula2>1000</formula2>
    </dataValidation>
    <dataValidation type="whole" imeMode="off" allowBlank="1" showInputMessage="1" showErrorMessage="1" error="数値のみ入力可能" sqref="H3:I4 H11:I11 H20:I20" xr:uid="{6F1AFA4C-E2CA-4C1C-B1A8-26FD9BCF70EE}">
      <formula1>-999999999999</formula1>
      <formula2>999999999999</formula2>
    </dataValidation>
    <dataValidation type="textLength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4466CD79-8071-460B-9ACF-31858B54FCAE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25"/>
  <sheetViews>
    <sheetView showGridLines="0" workbookViewId="0">
      <pane ySplit="1" topLeftCell="A2" activePane="bottomLeft" state="frozen"/>
      <selection activeCell="E5" sqref="E5"/>
      <selection pane="bottomLeft" activeCell="E16" sqref="E16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38" t="s">
        <v>83</v>
      </c>
      <c r="B2" s="38" t="s">
        <v>92</v>
      </c>
      <c r="C2" s="38" t="s">
        <v>108</v>
      </c>
      <c r="D2" s="42" t="str">
        <f t="shared" ref="D2:D35" si="0">camel2snake(C2)</f>
        <v>campane_price</v>
      </c>
      <c r="E2" s="38" t="s">
        <v>93</v>
      </c>
    </row>
    <row r="3" spans="1:5" x14ac:dyDescent="0.55000000000000004">
      <c r="A3" s="38" t="s">
        <v>131</v>
      </c>
      <c r="B3" s="38" t="s">
        <v>141</v>
      </c>
      <c r="C3" s="38" t="s">
        <v>142</v>
      </c>
      <c r="D3" s="42" t="str">
        <f t="shared" si="0"/>
        <v>order_pic</v>
      </c>
      <c r="E3" s="38" t="s">
        <v>144</v>
      </c>
    </row>
    <row r="4" spans="1:5" x14ac:dyDescent="0.55000000000000004">
      <c r="A4" s="38" t="s">
        <v>131</v>
      </c>
      <c r="B4" s="38" t="s">
        <v>143</v>
      </c>
      <c r="C4" s="38" t="s">
        <v>184</v>
      </c>
      <c r="D4" s="42" t="str">
        <f t="shared" si="0"/>
        <v>product_pic</v>
      </c>
      <c r="E4" s="38" t="s">
        <v>145</v>
      </c>
    </row>
    <row r="5" spans="1:5" x14ac:dyDescent="0.55000000000000004">
      <c r="A5" s="38" t="s">
        <v>124</v>
      </c>
      <c r="B5" s="38" t="s">
        <v>185</v>
      </c>
      <c r="C5" s="38" t="s">
        <v>186</v>
      </c>
      <c r="D5" s="42" t="str">
        <f t="shared" si="0"/>
        <v>salese_department</v>
      </c>
      <c r="E5" s="38" t="s">
        <v>185</v>
      </c>
    </row>
    <row r="6" spans="1:5" x14ac:dyDescent="0.55000000000000004">
      <c r="A6" s="38"/>
      <c r="B6" s="38"/>
      <c r="C6" s="38"/>
      <c r="D6" s="42" t="str">
        <f t="shared" si="0"/>
        <v/>
      </c>
      <c r="E6" s="38"/>
    </row>
    <row r="7" spans="1:5" x14ac:dyDescent="0.55000000000000004">
      <c r="A7" s="38"/>
      <c r="B7" s="38"/>
      <c r="C7" s="38"/>
      <c r="D7" s="42" t="str">
        <f t="shared" si="0"/>
        <v/>
      </c>
      <c r="E7" s="38"/>
    </row>
    <row r="8" spans="1:5" x14ac:dyDescent="0.55000000000000004">
      <c r="A8" s="38"/>
      <c r="B8" s="38"/>
      <c r="C8" s="38"/>
      <c r="D8" s="42" t="str">
        <f t="shared" si="0"/>
        <v/>
      </c>
      <c r="E8" s="38"/>
    </row>
    <row r="9" spans="1:5" x14ac:dyDescent="0.55000000000000004">
      <c r="A9" s="38"/>
      <c r="B9" s="38"/>
      <c r="C9" s="38"/>
      <c r="D9" s="42" t="str">
        <f t="shared" si="0"/>
        <v/>
      </c>
      <c r="E9" s="38"/>
    </row>
    <row r="10" spans="1:5" x14ac:dyDescent="0.55000000000000004">
      <c r="A10" s="38"/>
      <c r="B10" s="38"/>
      <c r="C10" s="38"/>
      <c r="D10" s="42" t="str">
        <f t="shared" si="0"/>
        <v/>
      </c>
      <c r="E10" s="38"/>
    </row>
    <row r="11" spans="1:5" x14ac:dyDescent="0.55000000000000004">
      <c r="A11" s="38"/>
      <c r="B11" s="38"/>
      <c r="C11" s="38"/>
      <c r="D11" s="42" t="str">
        <f t="shared" si="0"/>
        <v/>
      </c>
      <c r="E11" s="38"/>
    </row>
    <row r="12" spans="1:5" x14ac:dyDescent="0.55000000000000004">
      <c r="A12" s="38"/>
      <c r="B12" s="38"/>
      <c r="C12" s="38"/>
      <c r="D12" s="42" t="str">
        <f t="shared" si="0"/>
        <v/>
      </c>
      <c r="E12" s="38"/>
    </row>
    <row r="13" spans="1:5" x14ac:dyDescent="0.55000000000000004">
      <c r="A13" s="38"/>
      <c r="B13" s="38"/>
      <c r="C13" s="38"/>
      <c r="D13" s="42" t="str">
        <f t="shared" si="0"/>
        <v/>
      </c>
      <c r="E13" s="38"/>
    </row>
    <row r="14" spans="1:5" x14ac:dyDescent="0.55000000000000004">
      <c r="A14" s="38"/>
      <c r="B14" s="38"/>
      <c r="C14" s="38"/>
      <c r="D14" s="42" t="str">
        <f t="shared" si="0"/>
        <v/>
      </c>
      <c r="E14" s="38"/>
    </row>
    <row r="15" spans="1:5" x14ac:dyDescent="0.55000000000000004">
      <c r="A15" s="38"/>
      <c r="B15" s="38"/>
      <c r="C15" s="38"/>
      <c r="D15" s="42" t="str">
        <f t="shared" si="0"/>
        <v/>
      </c>
      <c r="E15" s="38"/>
    </row>
    <row r="16" spans="1:5" x14ac:dyDescent="0.55000000000000004">
      <c r="A16" s="38"/>
      <c r="B16" s="38"/>
      <c r="C16" s="38"/>
      <c r="D16" s="42" t="str">
        <f t="shared" si="0"/>
        <v/>
      </c>
      <c r="E16" s="38"/>
    </row>
    <row r="17" spans="1:5" x14ac:dyDescent="0.55000000000000004">
      <c r="A17" s="38"/>
      <c r="B17" s="38"/>
      <c r="C17" s="38"/>
      <c r="D17" s="42" t="str">
        <f t="shared" si="0"/>
        <v/>
      </c>
      <c r="E17" s="38"/>
    </row>
    <row r="18" spans="1:5" x14ac:dyDescent="0.55000000000000004">
      <c r="A18" s="38"/>
      <c r="B18" s="38"/>
      <c r="C18" s="38"/>
      <c r="D18" s="42" t="str">
        <f t="shared" si="0"/>
        <v/>
      </c>
      <c r="E18" s="38"/>
    </row>
    <row r="19" spans="1:5" x14ac:dyDescent="0.55000000000000004">
      <c r="A19" s="38"/>
      <c r="B19" s="38"/>
      <c r="C19" s="38"/>
      <c r="D19" s="42" t="str">
        <f t="shared" si="0"/>
        <v/>
      </c>
      <c r="E19" s="38"/>
    </row>
    <row r="20" spans="1:5" x14ac:dyDescent="0.55000000000000004">
      <c r="A20" s="38"/>
      <c r="B20" s="38"/>
      <c r="C20" s="38"/>
      <c r="D20" s="42" t="str">
        <f t="shared" si="0"/>
        <v/>
      </c>
      <c r="E20" s="38"/>
    </row>
    <row r="21" spans="1:5" x14ac:dyDescent="0.55000000000000004">
      <c r="A21" s="38"/>
      <c r="B21" s="38"/>
      <c r="C21" s="38"/>
      <c r="D21" s="42" t="str">
        <f t="shared" si="0"/>
        <v/>
      </c>
      <c r="E21" s="38"/>
    </row>
    <row r="22" spans="1:5" x14ac:dyDescent="0.55000000000000004">
      <c r="A22" s="38"/>
      <c r="B22" s="38"/>
      <c r="C22" s="38"/>
      <c r="D22" s="42" t="str">
        <f t="shared" si="0"/>
        <v/>
      </c>
      <c r="E22" s="38"/>
    </row>
    <row r="23" spans="1:5" x14ac:dyDescent="0.55000000000000004">
      <c r="A23" s="38"/>
      <c r="B23" s="38"/>
      <c r="C23" s="38"/>
      <c r="D23" s="42" t="str">
        <f t="shared" si="0"/>
        <v/>
      </c>
      <c r="E23" s="38"/>
    </row>
    <row r="24" spans="1:5" x14ac:dyDescent="0.55000000000000004">
      <c r="A24" s="38"/>
      <c r="B24" s="38"/>
      <c r="C24" s="38"/>
      <c r="D24" s="42" t="str">
        <f t="shared" si="0"/>
        <v/>
      </c>
      <c r="E24" s="38"/>
    </row>
    <row r="25" spans="1:5" x14ac:dyDescent="0.55000000000000004">
      <c r="A25" s="38"/>
      <c r="B25" s="38"/>
      <c r="C25" s="38"/>
      <c r="D25" s="42" t="str">
        <f t="shared" si="0"/>
        <v/>
      </c>
      <c r="E25" s="38"/>
    </row>
    <row r="26" spans="1:5" x14ac:dyDescent="0.55000000000000004">
      <c r="A26" s="38"/>
      <c r="B26" s="38"/>
      <c r="C26" s="38"/>
      <c r="D26" s="42" t="str">
        <f t="shared" si="0"/>
        <v/>
      </c>
      <c r="E26" s="38"/>
    </row>
    <row r="27" spans="1:5" x14ac:dyDescent="0.55000000000000004">
      <c r="A27" s="38"/>
      <c r="B27" s="38"/>
      <c r="C27" s="38"/>
      <c r="D27" s="42" t="str">
        <f t="shared" si="0"/>
        <v/>
      </c>
      <c r="E27" s="38"/>
    </row>
    <row r="28" spans="1:5" x14ac:dyDescent="0.55000000000000004">
      <c r="A28" s="38"/>
      <c r="B28" s="38"/>
      <c r="C28" s="38"/>
      <c r="D28" s="42" t="str">
        <f t="shared" si="0"/>
        <v/>
      </c>
      <c r="E28" s="38"/>
    </row>
    <row r="29" spans="1:5" x14ac:dyDescent="0.55000000000000004">
      <c r="A29" s="38"/>
      <c r="B29" s="38"/>
      <c r="C29" s="38"/>
      <c r="D29" s="42" t="str">
        <f t="shared" si="0"/>
        <v/>
      </c>
      <c r="E29" s="38"/>
    </row>
    <row r="30" spans="1:5" x14ac:dyDescent="0.55000000000000004">
      <c r="A30" s="38"/>
      <c r="B30" s="38"/>
      <c r="C30" s="38"/>
      <c r="D30" s="42" t="str">
        <f t="shared" si="0"/>
        <v/>
      </c>
      <c r="E30" s="38"/>
    </row>
    <row r="31" spans="1:5" x14ac:dyDescent="0.55000000000000004">
      <c r="A31" s="38"/>
      <c r="B31" s="38"/>
      <c r="C31" s="38"/>
      <c r="D31" s="42" t="str">
        <f t="shared" si="0"/>
        <v/>
      </c>
      <c r="E31" s="38"/>
    </row>
    <row r="32" spans="1:5" x14ac:dyDescent="0.55000000000000004">
      <c r="A32" s="38"/>
      <c r="B32" s="38"/>
      <c r="C32" s="38"/>
      <c r="D32" s="42" t="str">
        <f t="shared" si="0"/>
        <v/>
      </c>
      <c r="E32" s="38"/>
    </row>
    <row r="33" spans="1:5" x14ac:dyDescent="0.55000000000000004">
      <c r="A33" s="38"/>
      <c r="B33" s="38"/>
      <c r="C33" s="38"/>
      <c r="D33" s="42" t="str">
        <f t="shared" si="0"/>
        <v/>
      </c>
      <c r="E33" s="38"/>
    </row>
    <row r="34" spans="1:5" x14ac:dyDescent="0.55000000000000004">
      <c r="A34" s="38"/>
      <c r="B34" s="38"/>
      <c r="C34" s="38"/>
      <c r="D34" s="42" t="str">
        <f t="shared" si="0"/>
        <v/>
      </c>
      <c r="E34" s="38"/>
    </row>
    <row r="35" spans="1:5" x14ac:dyDescent="0.55000000000000004">
      <c r="A35" s="40"/>
      <c r="B35" s="40"/>
      <c r="C35" s="40"/>
      <c r="D35" s="33" t="str">
        <f t="shared" si="0"/>
        <v/>
      </c>
      <c r="E35" s="40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  <row r="716" spans="1:5" ht="18" x14ac:dyDescent="0.55000000000000004">
      <c r="A716"/>
      <c r="B716"/>
      <c r="C716"/>
      <c r="D716"/>
      <c r="E716"/>
    </row>
    <row r="717" spans="1:5" ht="18" x14ac:dyDescent="0.55000000000000004">
      <c r="A717"/>
      <c r="B717"/>
      <c r="C717"/>
      <c r="D717"/>
      <c r="E717"/>
    </row>
    <row r="718" spans="1:5" ht="18" x14ac:dyDescent="0.55000000000000004">
      <c r="A718"/>
      <c r="B718"/>
      <c r="C718"/>
      <c r="D718"/>
      <c r="E718"/>
    </row>
    <row r="719" spans="1:5" ht="18" x14ac:dyDescent="0.55000000000000004">
      <c r="A719"/>
      <c r="B719"/>
      <c r="C719"/>
      <c r="D719"/>
      <c r="E719"/>
    </row>
    <row r="720" spans="1:5" ht="18" x14ac:dyDescent="0.55000000000000004">
      <c r="A720"/>
      <c r="B720"/>
      <c r="C720"/>
      <c r="D720"/>
      <c r="E720"/>
    </row>
    <row r="721" spans="1:5" ht="18" x14ac:dyDescent="0.55000000000000004">
      <c r="A721"/>
      <c r="B721"/>
      <c r="C721"/>
      <c r="D721"/>
      <c r="E721"/>
    </row>
    <row r="722" spans="1:5" ht="18" x14ac:dyDescent="0.55000000000000004">
      <c r="A722"/>
      <c r="B722"/>
      <c r="C722"/>
      <c r="D722"/>
      <c r="E722"/>
    </row>
    <row r="723" spans="1:5" ht="18" x14ac:dyDescent="0.55000000000000004">
      <c r="A723"/>
      <c r="B723"/>
      <c r="C723"/>
      <c r="D723"/>
      <c r="E723"/>
    </row>
    <row r="724" spans="1:5" ht="18" x14ac:dyDescent="0.55000000000000004">
      <c r="A724"/>
      <c r="B724"/>
      <c r="C724"/>
      <c r="D724"/>
      <c r="E724"/>
    </row>
    <row r="725" spans="1:5" ht="18" x14ac:dyDescent="0.55000000000000004">
      <c r="A725"/>
      <c r="B725"/>
      <c r="C725"/>
      <c r="D725"/>
      <c r="E725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E2:E35 B2:C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DAE27F54-AF40-429E-A78B-B8CCF7449A14}"/>
    <dataValidation imeMode="off" allowBlank="1" showInputMessage="1" showErrorMessage="1" sqref="C2:C35" xr:uid="{EF50D37D-16FF-4C0C-9F5F-BC3FDDDF8E8F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54"/>
  <sheetViews>
    <sheetView showGridLines="0" workbookViewId="0">
      <pane ySplit="1" topLeftCell="A2" activePane="bottomLeft" state="frozen"/>
      <selection activeCell="E5" sqref="E5"/>
      <selection pane="bottomLeft" activeCell="F2" sqref="F2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122</v>
      </c>
      <c r="D1" s="22" t="s">
        <v>6</v>
      </c>
    </row>
    <row r="2" spans="1:4" x14ac:dyDescent="0.55000000000000004">
      <c r="A2" s="38" t="s">
        <v>94</v>
      </c>
      <c r="B2" s="38" t="s">
        <v>119</v>
      </c>
      <c r="C2" s="38" t="s">
        <v>98</v>
      </c>
      <c r="D2" s="38" t="s">
        <v>99</v>
      </c>
    </row>
    <row r="3" spans="1:4" x14ac:dyDescent="0.55000000000000004">
      <c r="A3" s="38" t="s">
        <v>94</v>
      </c>
      <c r="B3" s="38" t="s">
        <v>123</v>
      </c>
      <c r="C3" s="38" t="s">
        <v>97</v>
      </c>
      <c r="D3" s="38" t="s">
        <v>100</v>
      </c>
    </row>
    <row r="4" spans="1:4" x14ac:dyDescent="0.55000000000000004">
      <c r="A4" s="38" t="s">
        <v>94</v>
      </c>
      <c r="B4" s="38" t="s">
        <v>120</v>
      </c>
      <c r="C4" s="38" t="s">
        <v>101</v>
      </c>
      <c r="D4" s="38" t="s">
        <v>104</v>
      </c>
    </row>
    <row r="5" spans="1:4" x14ac:dyDescent="0.55000000000000004">
      <c r="A5" s="38" t="s">
        <v>94</v>
      </c>
      <c r="B5" s="38" t="s">
        <v>121</v>
      </c>
      <c r="C5" s="38" t="s">
        <v>102</v>
      </c>
      <c r="D5" s="38" t="s">
        <v>103</v>
      </c>
    </row>
    <row r="6" spans="1:4" x14ac:dyDescent="0.55000000000000004">
      <c r="A6" s="38" t="s">
        <v>124</v>
      </c>
      <c r="B6" s="38" t="s">
        <v>146</v>
      </c>
      <c r="C6" s="38" t="s">
        <v>147</v>
      </c>
      <c r="D6" s="38" t="s">
        <v>148</v>
      </c>
    </row>
    <row r="7" spans="1:4" x14ac:dyDescent="0.55000000000000004">
      <c r="A7" s="38" t="s">
        <v>124</v>
      </c>
      <c r="B7" s="38" t="s">
        <v>149</v>
      </c>
      <c r="C7" s="38" t="s">
        <v>150</v>
      </c>
      <c r="D7" s="38" t="s">
        <v>151</v>
      </c>
    </row>
    <row r="8" spans="1:4" x14ac:dyDescent="0.55000000000000004">
      <c r="A8" s="38" t="s">
        <v>124</v>
      </c>
      <c r="B8" s="38" t="s">
        <v>152</v>
      </c>
      <c r="C8" s="38" t="s">
        <v>153</v>
      </c>
      <c r="D8" s="38" t="s">
        <v>154</v>
      </c>
    </row>
    <row r="9" spans="1:4" x14ac:dyDescent="0.55000000000000004">
      <c r="A9" s="38" t="s">
        <v>124</v>
      </c>
      <c r="B9" s="38" t="s">
        <v>155</v>
      </c>
      <c r="C9" s="38" t="s">
        <v>156</v>
      </c>
      <c r="D9" s="38" t="s">
        <v>157</v>
      </c>
    </row>
    <row r="10" spans="1:4" x14ac:dyDescent="0.55000000000000004">
      <c r="A10" s="38" t="s">
        <v>124</v>
      </c>
      <c r="B10" s="38" t="s">
        <v>158</v>
      </c>
      <c r="C10" s="38" t="s">
        <v>159</v>
      </c>
      <c r="D10" s="38" t="s">
        <v>160</v>
      </c>
    </row>
    <row r="11" spans="1:4" x14ac:dyDescent="0.55000000000000004">
      <c r="A11" s="38" t="s">
        <v>192</v>
      </c>
      <c r="B11" s="38" t="s">
        <v>198</v>
      </c>
      <c r="C11" s="38" t="s">
        <v>199</v>
      </c>
      <c r="D11" s="38" t="s">
        <v>199</v>
      </c>
    </row>
    <row r="12" spans="1:4" x14ac:dyDescent="0.55000000000000004">
      <c r="A12" s="38" t="s">
        <v>192</v>
      </c>
      <c r="B12" s="38" t="s">
        <v>196</v>
      </c>
      <c r="C12" s="38" t="s">
        <v>97</v>
      </c>
      <c r="D12" s="38" t="s">
        <v>200</v>
      </c>
    </row>
    <row r="13" spans="1:4" x14ac:dyDescent="0.55000000000000004">
      <c r="A13" s="38" t="s">
        <v>192</v>
      </c>
      <c r="B13" s="38" t="s">
        <v>201</v>
      </c>
      <c r="C13" s="38" t="s">
        <v>202</v>
      </c>
      <c r="D13" s="38" t="s">
        <v>202</v>
      </c>
    </row>
    <row r="14" spans="1:4" x14ac:dyDescent="0.55000000000000004">
      <c r="A14" s="38" t="s">
        <v>192</v>
      </c>
      <c r="B14" s="38" t="s">
        <v>203</v>
      </c>
      <c r="C14" s="38" t="s">
        <v>204</v>
      </c>
      <c r="D14" s="38" t="s">
        <v>204</v>
      </c>
    </row>
    <row r="15" spans="1:4" x14ac:dyDescent="0.55000000000000004">
      <c r="A15" s="38"/>
      <c r="B15" s="38"/>
      <c r="C15" s="38"/>
      <c r="D15" s="38"/>
    </row>
    <row r="16" spans="1:4" x14ac:dyDescent="0.55000000000000004">
      <c r="A16" s="38"/>
      <c r="B16" s="38"/>
      <c r="C16" s="38"/>
      <c r="D16" s="38"/>
    </row>
    <row r="17" spans="1:4" x14ac:dyDescent="0.55000000000000004">
      <c r="A17" s="38"/>
      <c r="B17" s="38"/>
      <c r="C17" s="38"/>
      <c r="D17" s="38"/>
    </row>
    <row r="18" spans="1:4" x14ac:dyDescent="0.55000000000000004">
      <c r="A18" s="38"/>
      <c r="B18" s="38"/>
      <c r="C18" s="38"/>
      <c r="D18" s="38"/>
    </row>
    <row r="19" spans="1:4" x14ac:dyDescent="0.55000000000000004">
      <c r="A19" s="38"/>
      <c r="B19" s="38"/>
      <c r="C19" s="38"/>
      <c r="D19" s="38"/>
    </row>
    <row r="20" spans="1:4" x14ac:dyDescent="0.55000000000000004">
      <c r="A20" s="38"/>
      <c r="B20" s="38"/>
      <c r="C20" s="38"/>
      <c r="D20" s="38"/>
    </row>
    <row r="21" spans="1:4" x14ac:dyDescent="0.55000000000000004">
      <c r="A21" s="38"/>
      <c r="B21" s="38"/>
      <c r="C21" s="38"/>
      <c r="D21" s="38"/>
    </row>
    <row r="22" spans="1:4" x14ac:dyDescent="0.55000000000000004">
      <c r="A22" s="38"/>
      <c r="B22" s="38"/>
      <c r="C22" s="38"/>
      <c r="D22" s="38"/>
    </row>
    <row r="23" spans="1:4" x14ac:dyDescent="0.55000000000000004">
      <c r="A23" s="38"/>
      <c r="B23" s="38"/>
      <c r="C23" s="38"/>
      <c r="D23" s="38"/>
    </row>
    <row r="24" spans="1:4" x14ac:dyDescent="0.55000000000000004">
      <c r="A24" s="38"/>
      <c r="B24" s="38"/>
      <c r="C24" s="38"/>
      <c r="D24" s="38"/>
    </row>
    <row r="25" spans="1:4" x14ac:dyDescent="0.55000000000000004">
      <c r="A25" s="38"/>
      <c r="B25" s="38"/>
      <c r="C25" s="38"/>
      <c r="D25" s="38"/>
    </row>
    <row r="26" spans="1:4" x14ac:dyDescent="0.55000000000000004">
      <c r="A26" s="38"/>
      <c r="B26" s="38"/>
      <c r="C26" s="38"/>
      <c r="D26" s="38"/>
    </row>
    <row r="27" spans="1:4" x14ac:dyDescent="0.55000000000000004">
      <c r="A27" s="38"/>
      <c r="B27" s="38"/>
      <c r="C27" s="38"/>
      <c r="D27" s="38"/>
    </row>
    <row r="28" spans="1:4" x14ac:dyDescent="0.55000000000000004">
      <c r="A28" s="38"/>
      <c r="B28" s="38"/>
      <c r="C28" s="38"/>
      <c r="D28" s="38"/>
    </row>
    <row r="29" spans="1:4" x14ac:dyDescent="0.55000000000000004">
      <c r="A29" s="38"/>
      <c r="B29" s="38"/>
      <c r="C29" s="38"/>
      <c r="D29" s="38"/>
    </row>
    <row r="30" spans="1:4" x14ac:dyDescent="0.55000000000000004">
      <c r="A30" s="38"/>
      <c r="B30" s="38"/>
      <c r="C30" s="38"/>
      <c r="D30" s="38"/>
    </row>
    <row r="31" spans="1:4" x14ac:dyDescent="0.55000000000000004">
      <c r="A31" s="38"/>
      <c r="B31" s="38"/>
      <c r="C31" s="38"/>
      <c r="D31" s="38"/>
    </row>
    <row r="32" spans="1:4" x14ac:dyDescent="0.55000000000000004">
      <c r="A32" s="38"/>
      <c r="B32" s="38"/>
      <c r="C32" s="38"/>
      <c r="D32" s="38"/>
    </row>
    <row r="33" spans="1:4" x14ac:dyDescent="0.55000000000000004">
      <c r="A33" s="38"/>
      <c r="B33" s="38"/>
      <c r="C33" s="38"/>
      <c r="D33" s="38"/>
    </row>
    <row r="34" spans="1:4" x14ac:dyDescent="0.55000000000000004">
      <c r="A34" s="38"/>
      <c r="B34" s="38"/>
      <c r="C34" s="38"/>
      <c r="D34" s="38"/>
    </row>
    <row r="35" spans="1:4" x14ac:dyDescent="0.55000000000000004">
      <c r="A35" s="38"/>
      <c r="B35" s="38"/>
      <c r="C35" s="38"/>
      <c r="D35" s="38"/>
    </row>
    <row r="36" spans="1:4" x14ac:dyDescent="0.55000000000000004">
      <c r="A36" s="38"/>
      <c r="B36" s="38"/>
      <c r="C36" s="38"/>
      <c r="D36" s="38"/>
    </row>
    <row r="37" spans="1:4" x14ac:dyDescent="0.55000000000000004">
      <c r="A37" s="38"/>
      <c r="B37" s="38"/>
      <c r="C37" s="38"/>
      <c r="D37" s="38"/>
    </row>
    <row r="38" spans="1:4" x14ac:dyDescent="0.55000000000000004">
      <c r="A38" s="38"/>
      <c r="B38" s="38"/>
      <c r="C38" s="38"/>
      <c r="D38" s="38"/>
    </row>
    <row r="39" spans="1:4" x14ac:dyDescent="0.55000000000000004">
      <c r="A39" s="38"/>
      <c r="B39" s="38"/>
      <c r="C39" s="38"/>
      <c r="D39" s="38"/>
    </row>
    <row r="40" spans="1:4" x14ac:dyDescent="0.55000000000000004">
      <c r="A40" s="38"/>
      <c r="B40" s="38"/>
      <c r="C40" s="38"/>
      <c r="D40" s="38"/>
    </row>
    <row r="41" spans="1:4" x14ac:dyDescent="0.55000000000000004">
      <c r="A41" s="38"/>
      <c r="B41" s="38"/>
      <c r="C41" s="38"/>
      <c r="D41" s="38"/>
    </row>
    <row r="42" spans="1:4" x14ac:dyDescent="0.55000000000000004">
      <c r="A42" s="38"/>
      <c r="B42" s="38"/>
      <c r="C42" s="38"/>
      <c r="D42" s="38"/>
    </row>
    <row r="43" spans="1:4" x14ac:dyDescent="0.55000000000000004">
      <c r="A43" s="38"/>
      <c r="B43" s="38"/>
      <c r="C43" s="38"/>
      <c r="D43" s="38"/>
    </row>
    <row r="44" spans="1:4" x14ac:dyDescent="0.55000000000000004">
      <c r="A44" s="40"/>
      <c r="B44" s="40"/>
      <c r="C44" s="40"/>
      <c r="D44" s="40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  <row r="1045" spans="1:4" ht="18" x14ac:dyDescent="0.55000000000000004">
      <c r="A1045"/>
      <c r="B1045"/>
      <c r="C1045"/>
      <c r="D1045"/>
    </row>
    <row r="1046" spans="1:4" ht="18" x14ac:dyDescent="0.55000000000000004">
      <c r="A1046"/>
      <c r="B1046"/>
      <c r="C1046"/>
      <c r="D1046"/>
    </row>
    <row r="1047" spans="1:4" ht="18" x14ac:dyDescent="0.55000000000000004">
      <c r="A1047"/>
      <c r="B1047"/>
      <c r="C1047"/>
      <c r="D1047"/>
    </row>
    <row r="1048" spans="1:4" ht="18" x14ac:dyDescent="0.55000000000000004">
      <c r="A1048"/>
      <c r="B1048"/>
      <c r="C1048"/>
      <c r="D1048"/>
    </row>
    <row r="1049" spans="1:4" ht="18" x14ac:dyDescent="0.55000000000000004">
      <c r="A1049"/>
      <c r="B1049"/>
      <c r="C1049"/>
      <c r="D1049"/>
    </row>
    <row r="1050" spans="1:4" ht="18" x14ac:dyDescent="0.55000000000000004">
      <c r="A1050"/>
      <c r="B1050"/>
      <c r="C1050"/>
      <c r="D1050"/>
    </row>
    <row r="1051" spans="1:4" ht="18" x14ac:dyDescent="0.55000000000000004">
      <c r="A1051"/>
      <c r="B1051"/>
      <c r="C1051"/>
      <c r="D1051"/>
    </row>
    <row r="1052" spans="1:4" ht="18" x14ac:dyDescent="0.55000000000000004">
      <c r="A1052"/>
      <c r="B1052"/>
      <c r="C1052"/>
      <c r="D1052"/>
    </row>
    <row r="1053" spans="1:4" ht="18" x14ac:dyDescent="0.55000000000000004">
      <c r="A1053"/>
      <c r="B1053"/>
      <c r="C1053"/>
      <c r="D1053"/>
    </row>
    <row r="1054" spans="1:4" ht="18" x14ac:dyDescent="0.55000000000000004">
      <c r="A1054"/>
      <c r="B1054"/>
      <c r="C1054"/>
      <c r="D1054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8D1CA3E5-D502-45E0-A592-DB418F4CC4B9}"/>
    <dataValidation imeMode="off" allowBlank="1" showInputMessage="1" showErrorMessage="1" sqref="B2:B44" xr:uid="{61BCF6C2-C298-4FFF-9695-09F0BDF5BDB7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237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208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117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213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" priority="1" operator="equal">
      <formula>0</formula>
    </cfRule>
    <cfRule type="cellIs" dxfId="8" priority="2" operator="lessThan">
      <formula>0</formula>
    </cfRule>
    <cfRule type="cellIs" dxfId="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B3" sqref="B3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163</v>
      </c>
      <c r="F2" t="s">
        <v>94</v>
      </c>
    </row>
    <row r="3" spans="1:6" x14ac:dyDescent="0.55000000000000004">
      <c r="B3" s="25" t="s">
        <v>75</v>
      </c>
      <c r="D3" t="s">
        <v>83</v>
      </c>
      <c r="F3" t="s">
        <v>124</v>
      </c>
    </row>
    <row r="4" spans="1:6" x14ac:dyDescent="0.55000000000000004">
      <c r="D4" t="s">
        <v>84</v>
      </c>
      <c r="F4" t="s">
        <v>192</v>
      </c>
    </row>
    <row r="5" spans="1:6" x14ac:dyDescent="0.55000000000000004">
      <c r="A5" t="s">
        <v>81</v>
      </c>
      <c r="B5" s="27" t="s">
        <v>83</v>
      </c>
      <c r="D5" t="s">
        <v>91</v>
      </c>
    </row>
    <row r="6" spans="1:6" x14ac:dyDescent="0.55000000000000004">
      <c r="A6" t="s">
        <v>80</v>
      </c>
      <c r="B6" s="27"/>
      <c r="D6" t="s">
        <v>94</v>
      </c>
    </row>
    <row r="7" spans="1:6" x14ac:dyDescent="0.55000000000000004">
      <c r="A7" t="s">
        <v>82</v>
      </c>
      <c r="B7" s="27" t="s">
        <v>83</v>
      </c>
      <c r="D7" t="s">
        <v>109</v>
      </c>
    </row>
    <row r="8" spans="1:6" x14ac:dyDescent="0.55000000000000004">
      <c r="D8" t="s">
        <v>113</v>
      </c>
    </row>
    <row r="9" spans="1:6" x14ac:dyDescent="0.55000000000000004">
      <c r="D9" t="s">
        <v>124</v>
      </c>
    </row>
    <row r="10" spans="1:6" x14ac:dyDescent="0.55000000000000004">
      <c r="D10" t="s">
        <v>125</v>
      </c>
    </row>
    <row r="11" spans="1:6" x14ac:dyDescent="0.55000000000000004">
      <c r="D11" t="s">
        <v>126</v>
      </c>
    </row>
    <row r="12" spans="1:6" x14ac:dyDescent="0.55000000000000004">
      <c r="D12" t="s">
        <v>164</v>
      </c>
    </row>
    <row r="13" spans="1:6" x14ac:dyDescent="0.55000000000000004">
      <c r="D13" t="s">
        <v>128</v>
      </c>
    </row>
    <row r="14" spans="1:6" x14ac:dyDescent="0.55000000000000004">
      <c r="D14" t="s">
        <v>130</v>
      </c>
    </row>
    <row r="15" spans="1:6" x14ac:dyDescent="0.55000000000000004">
      <c r="D15" t="s">
        <v>131</v>
      </c>
    </row>
    <row r="16" spans="1:6" x14ac:dyDescent="0.55000000000000004">
      <c r="D16" t="s">
        <v>205</v>
      </c>
    </row>
    <row r="17" spans="4:4" x14ac:dyDescent="0.55000000000000004">
      <c r="D17" t="s">
        <v>161</v>
      </c>
    </row>
    <row r="18" spans="4:4" x14ac:dyDescent="0.55000000000000004">
      <c r="D18" t="s">
        <v>206</v>
      </c>
    </row>
    <row r="19" spans="4:4" x14ac:dyDescent="0.55000000000000004">
      <c r="D19" t="s">
        <v>162</v>
      </c>
    </row>
    <row r="20" spans="4:4" x14ac:dyDescent="0.55000000000000004">
      <c r="D20" t="s">
        <v>165</v>
      </c>
    </row>
    <row r="21" spans="4:4" x14ac:dyDescent="0.55000000000000004">
      <c r="D21" t="s">
        <v>166</v>
      </c>
    </row>
    <row r="22" spans="4:4" x14ac:dyDescent="0.55000000000000004">
      <c r="D22" t="s">
        <v>187</v>
      </c>
    </row>
    <row r="23" spans="4:4" x14ac:dyDescent="0.55000000000000004">
      <c r="D23" t="s">
        <v>191</v>
      </c>
    </row>
    <row r="24" spans="4:4" x14ac:dyDescent="0.55000000000000004">
      <c r="D24" t="s">
        <v>192</v>
      </c>
    </row>
    <row r="25" spans="4:4" x14ac:dyDescent="0.55000000000000004">
      <c r="D25" t="s">
        <v>211</v>
      </c>
    </row>
    <row r="26" spans="4:4" x14ac:dyDescent="0.55000000000000004">
      <c r="D26" t="s">
        <v>212</v>
      </c>
    </row>
    <row r="27" spans="4:4" x14ac:dyDescent="0.55000000000000004">
      <c r="D27" t="s">
        <v>220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2024-02-12T13:43:23Z</dcterms:modified>
</cp:coreProperties>
</file>