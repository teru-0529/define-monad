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FDFD7B84-6B3F-4ED5-AD29-0A370F2A8127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設定" sheetId="2" r:id="rId5"/>
    <sheet name="WORK" sheetId="4" state="hidden" r:id="rId6"/>
  </sheets>
  <functionGroups builtInGroupCount="19"/>
  <definedNames>
    <definedName name="api_elements_path">設定!$E$9</definedName>
    <definedName name="INVALID">FALSE</definedName>
    <definedName name="save_data_path">設定!$E$6</definedName>
    <definedName name="table_elements_path">設定!$E$8</definedName>
    <definedName name="types_ddl_path">設定!$E$10</definedName>
    <definedName name="VALID">TRUE</definedName>
    <definedName name="VALIDATION_RESULT">TRUE</definedName>
    <definedName name="view_derive_elements_path">設定!$E$13</definedName>
    <definedName name="view_elements_path">設定!$E$12</definedName>
    <definedName name="view_segments_path">設定!$E$14</definedName>
    <definedName name="ドメインタイプDATA">タイプ!$A$2:$N$14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5" i="3" l="1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P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N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C25" i="3"/>
  <c r="C33" i="3"/>
  <c r="C41" i="3"/>
  <c r="C49" i="3"/>
  <c r="C32" i="3"/>
  <c r="C26" i="3"/>
  <c r="C34" i="3"/>
  <c r="C42" i="3"/>
  <c r="C50" i="3"/>
  <c r="C40" i="3"/>
  <c r="C27" i="3"/>
  <c r="C35" i="3"/>
  <c r="C43" i="3"/>
  <c r="C51" i="3"/>
  <c r="C28" i="3"/>
  <c r="C36" i="3"/>
  <c r="C44" i="3"/>
  <c r="C52" i="3"/>
  <c r="C48" i="3"/>
  <c r="C29" i="3"/>
  <c r="C37" i="3"/>
  <c r="C45" i="3"/>
  <c r="C53" i="3"/>
  <c r="C31" i="3"/>
  <c r="C47" i="3"/>
  <c r="C30" i="3"/>
  <c r="C38" i="3"/>
  <c r="C46" i="3"/>
  <c r="C54" i="3"/>
  <c r="C39" i="3"/>
  <c r="D6" i="5"/>
  <c r="D14" i="5"/>
  <c r="D22" i="5"/>
  <c r="D30" i="5"/>
  <c r="D7" i="5"/>
  <c r="D15" i="5"/>
  <c r="D23" i="5"/>
  <c r="D31" i="5"/>
  <c r="D8" i="5"/>
  <c r="D16" i="5"/>
  <c r="D24" i="5"/>
  <c r="D32" i="5"/>
  <c r="D21" i="5"/>
  <c r="D9" i="5"/>
  <c r="D17" i="5"/>
  <c r="D25" i="5"/>
  <c r="D33" i="5"/>
  <c r="D10" i="5"/>
  <c r="D18" i="5"/>
  <c r="D26" i="5"/>
  <c r="D34" i="5"/>
  <c r="D11" i="5"/>
  <c r="D19" i="5"/>
  <c r="D27" i="5"/>
  <c r="D35" i="5"/>
  <c r="D12" i="5"/>
  <c r="D20" i="5"/>
  <c r="D28" i="5"/>
  <c r="D13" i="5"/>
  <c r="D29" i="5"/>
  <c r="D2" i="5"/>
  <c r="D3" i="5"/>
  <c r="D4" i="5"/>
  <c r="D5" i="5"/>
  <c r="C4" i="3"/>
  <c r="C12" i="3"/>
  <c r="C20" i="3"/>
  <c r="C5" i="3"/>
  <c r="C13" i="3"/>
  <c r="C21" i="3"/>
  <c r="C10" i="3"/>
  <c r="C3" i="3"/>
  <c r="C6" i="3"/>
  <c r="C14" i="3"/>
  <c r="C22" i="3"/>
  <c r="C2" i="3"/>
  <c r="C19" i="3"/>
  <c r="C7" i="3"/>
  <c r="C15" i="3"/>
  <c r="C23" i="3"/>
  <c r="C17" i="3"/>
  <c r="C11" i="3"/>
  <c r="C8" i="3"/>
  <c r="C16" i="3"/>
  <c r="C24" i="3"/>
  <c r="C9" i="3"/>
  <c r="C18" i="3"/>
  <c r="C2" i="2" l="1" a="1"/>
  <c r="C2" i="2" s="1"/>
  <c r="E3" i="2" s="1"/>
  <c r="E14" i="2" l="1"/>
  <c r="E10" i="2"/>
  <c r="E9" i="2"/>
  <c r="E12" i="2"/>
  <c r="E13" i="2"/>
  <c r="E6" i="2"/>
  <c r="E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<sst xmlns="http://schemas.openxmlformats.org/spreadsheetml/2006/main" count="385" uniqueCount="244">
  <si>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</si>
  <si>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</si>
  <si>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</si>
  <si>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</si>
  <si>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</si>
  <si>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</si>
  <si>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</si>
  <si>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</si>
  <si>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NO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</si>
  <si>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</si>
  <si>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</si>
  <si>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</si>
  <si>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</si>
  <si>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</si>
  <si>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</si>
  <si>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</si>
  <si>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</si>
  <si>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</si>
  <si>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</si>
  <si>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</si>
  <si>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</si>
  <si>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</si>
  <si>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</si>
  <si>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</si>
  <si>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</si>
  <si>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</si>
  <si>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</si>
  <si>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</si>
  <si>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</si>
  <si>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</si>
  <si>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</si>
  <si>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</si>
  <si>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</si>
  <si>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</si>
  <si>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</si>
  <si>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</si>
  <si>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</si>
  <si>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</si>
  <si>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</si>
  <si>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</si>
  <si>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</si>
  <si>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</si>
  <si>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</si>
  <si>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</si>
  <si>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</si>
  <si>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</si>
  <si>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</si>
  <si>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</si>
  <si>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</si>
  <si>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</si>
  <si>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</si>
  <si>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</si>
  <si>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</si>
  <si>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</si>
  <si>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</si>
  <si>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</si>
  <si>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</si>
  <si>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</si>
  <si>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</si>
  <si>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</si>
  <si>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</si>
  <si>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</si>
  <si>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</si>
  <si>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</si>
  <si>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</si>
  <si>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</si>
  <si>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</si>
  <si>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</si>
  <si>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</si>
  <si>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</si>
  <si>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GIT_DIR</t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</si>
  <si>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</si>
  <si>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</si>
  <si>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</si>
  <si>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</si>
  <si>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</si>
  <si>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最小値
最大値</t>
    <rPh sb="0" eb="3">
      <t>サイショウチ</t>
    </rPh>
    <rPh sb="4" eb="7">
      <t>サイダイチ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</si>
  <si>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</si>
  <si>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</si>
  <si>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</si>
  <si>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</si>
  <si>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</si>
  <si>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</si>
  <si>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</si>
  <si>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</si>
  <si>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</si>
  <si>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カレントディレクトリ</t>
    <phoneticPr fontId="1"/>
  </si>
  <si>
    <t>dist</t>
    <phoneticPr fontId="1"/>
  </si>
  <si>
    <t>ファイル名</t>
    <rPh sb="4" eb="5">
      <t>メイ</t>
    </rPh>
    <phoneticPr fontId="1"/>
  </si>
  <si>
    <t>➡</t>
    <phoneticPr fontId="1"/>
  </si>
  <si>
    <t>NO</t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</si>
  <si>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</si>
  <si>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</si>
  <si>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</si>
  <si>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</si>
  <si>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</si>
  <si>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</si>
  <si>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</si>
  <si>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</si>
  <si>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14000</t>
  </si>
  <si>
    <t>250.25</t>
  </si>
  <si>
    <t>登録日</t>
  </si>
  <si>
    <t>2022-12-31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</si>
  <si>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</si>
  <si>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</si>
  <si>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</si>
  <si>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</si>
  <si>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</si>
  <si>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</si>
  <si>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</si>
  <si>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</si>
  <si>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</si>
  <si>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</si>
  <si>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</si>
  <si>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</si>
  <si>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</si>
  <si>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区分値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</si>
  <si>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</si>
  <si>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</si>
  <si>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</si>
  <si>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</si>
  <si>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</si>
  <si>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</si>
  <si>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</si>
  <si>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</si>
  <si>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</si>
  <si>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</si>
  <si>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false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</si>
  <si>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</si>
  <si>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</si>
  <si>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</si>
  <si>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</si>
  <si>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■Git管理データ</t>
    <rPh sb="4" eb="6">
      <t>カンリ</t>
    </rPh>
    <phoneticPr fontId="1"/>
  </si>
  <si>
    <t>save_data.yaml</t>
    <phoneticPr fontId="1"/>
  </si>
  <si>
    <t>NO_CHECKED</t>
  </si>
  <si>
    <t>CHANGED</t>
  </si>
  <si>
    <t>■テーブル定義連携用</t>
    <rPh sb="5" eb="7">
      <t>テイギ</t>
    </rPh>
    <rPh sb="7" eb="9">
      <t>レンケイ</t>
    </rPh>
    <rPh sb="9" eb="10">
      <t>ヨウ</t>
    </rPh>
    <phoneticPr fontId="1"/>
  </si>
  <si>
    <t>STOPPED</t>
  </si>
  <si>
    <t>■API定義連携用</t>
    <rPh sb="4" eb="6">
      <t>テイギ</t>
    </rPh>
    <rPh sb="6" eb="8">
      <t>レンケイ</t>
    </rPh>
    <rPh sb="8" eb="9">
      <t>ヨウ</t>
    </rPh>
    <phoneticPr fontId="1"/>
  </si>
  <si>
    <t>api_elements.yaml</t>
    <phoneticPr fontId="1"/>
  </si>
  <si>
    <t>区分名</t>
    <rPh sb="0" eb="3">
      <t>クブンメイ</t>
    </rPh>
    <phoneticPr fontId="1"/>
  </si>
  <si>
    <t>view_segments.tsv</t>
    <phoneticPr fontId="1"/>
  </si>
  <si>
    <t>view_derive_elements.tsv</t>
    <phoneticPr fontId="1"/>
  </si>
  <si>
    <t>view_elements.tsv</t>
    <phoneticPr fontId="1"/>
  </si>
  <si>
    <t>■項目View</t>
    <rPh sb="1" eb="3">
      <t>コウモク</t>
    </rPh>
    <phoneticPr fontId="1"/>
  </si>
  <si>
    <t>■別名View</t>
    <rPh sb="1" eb="3">
      <t>ベツメイ</t>
    </rPh>
    <phoneticPr fontId="1"/>
  </si>
  <si>
    <t>■区分値View</t>
    <rPh sb="1" eb="4">
      <t>クブンチ</t>
    </rPh>
    <phoneticPr fontId="1"/>
  </si>
  <si>
    <t>NORMAL</t>
  </si>
  <si>
    <t>■Enum（Type）DDL</t>
    <phoneticPr fontId="1"/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</si>
  <si>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</si>
  <si>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</si>
  <si>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</si>
  <si>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</si>
  <si>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</si>
  <si>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</si>
  <si>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</si>
  <si>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</si>
  <si>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</si>
  <si>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</si>
  <si>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</si>
  <si>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</si>
  <si>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30</t>
  </si>
  <si>
    <t>RO-0000001</t>
  </si>
  <si>
    <t>1051</t>
  </si>
  <si>
    <t>文字列</t>
  </si>
  <si>
    <t>織田信長</t>
  </si>
  <si>
    <t>業務担当者</t>
  </si>
  <si>
    <t>0001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</si>
  <si>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</si>
  <si>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</si>
  <si>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</si>
  <si>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</si>
  <si>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</si>
  <si>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</si>
  <si>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</si>
  <si>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</si>
  <si>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</si>
  <si>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</si>
  <si>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</si>
  <si>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</si>
  <si>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</si>
  <si>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</si>
  <si>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</si>
  <si>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</si>
  <si>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</si>
  <si>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</si>
  <si>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</si>
  <si>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</si>
  <si>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</si>
  <si>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</si>
  <si>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</si>
  <si>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</si>
  <si>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</si>
  <si>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</si>
  <si>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</si>
  <si>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</si>
  <si>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</si>
  <si>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</si>
  <si>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</si>
  <si>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customerId</t>
  </si>
  <si>
    <t>customerName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</si>
  <si>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</si>
  <si>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</si>
  <si>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</si>
  <si>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</si>
  <si>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</si>
  <si>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</si>
  <si>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</si>
  <si>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</si>
  <si>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</si>
  <si>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</si>
  <si>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true</t>
  </si>
  <si>
    <t>稼働状況</t>
  </si>
  <si>
    <t>0.324</t>
  </si>
  <si>
    <t>帳票などに出力しない場合にtrue</t>
  </si>
  <si>
    <t>department</t>
  </si>
  <si>
    <t>productPIC</t>
  </si>
  <si>
    <t>売上計上部署</t>
  </si>
  <si>
    <t>saleseDepartment</t>
  </si>
  <si>
    <t>01_types.sql</t>
    <phoneticPr fontId="1"/>
  </si>
  <si>
    <t>発送時間</t>
  </si>
  <si>
    <t>時間</t>
  </si>
  <si>
    <t>14:00</t>
  </si>
  <si>
    <t>出荷時間</t>
  </si>
  <si>
    <t>table_elements.yaml</t>
    <phoneticPr fontId="1"/>
  </si>
  <si>
    <t>shippingTime</t>
  </si>
  <si>
    <t>取引有無</t>
  </si>
  <si>
    <t>取引先区分</t>
  </si>
  <si>
    <t>registrationDate</t>
  </si>
  <si>
    <t>isActiveCustomer</t>
  </si>
  <si>
    <t>customerType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</si>
  <si>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</si>
  <si>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</si>
  <si>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</si>
  <si>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</si>
  <si>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</si>
  <si>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</si>
  <si>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</si>
  <si>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</si>
  <si>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</si>
  <si>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</si>
  <si>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</si>
  <si>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</si>
  <si>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^([0-1]?[0-9]|2[0-3]):[0-5][0-9]$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</si>
</sst>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&quot;(必須)&quot;;&quot;(不可)&quot;;&quot;(任意)&quot;;"/>
    <numFmt numFmtId="177" formatCode="&quot;利用可能&quot;"/>
    <numFmt numFmtId="178" formatCode="&quot;含&quot;;;;"/>
    <numFmt numFmtId="179" formatCode="0_;;;"/>
    <numFmt numFmtId="180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6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/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5" borderId="12" xfId="0" applyFont="1" applyFill="1" applyBorder="1">
      <alignment vertical="center"/>
    </xf>
    <xf numFmtId="0" fontId="2" fillId="5" borderId="13" xfId="0" applyFont="1" applyFill="1" applyBorder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6" borderId="14" xfId="0" applyFill="1" applyBorder="1">
      <alignment vertical="center"/>
    </xf>
    <xf numFmtId="179" fontId="2" fillId="5" borderId="12" xfId="0" applyNumberFormat="1" applyFont="1" applyFill="1" applyBorder="1">
      <alignment vertical="center"/>
    </xf>
    <xf numFmtId="0" fontId="2" fillId="7" borderId="12" xfId="0" applyFont="1" applyFill="1" applyBorder="1">
      <alignment vertical="center"/>
    </xf>
    <xf numFmtId="178" fontId="2" fillId="7" borderId="12" xfId="0" applyNumberFormat="1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179" fontId="2" fillId="5" borderId="13" xfId="0" applyNumberFormat="1" applyFont="1" applyFill="1" applyBorder="1">
      <alignment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2" fillId="0" borderId="12" xfId="0" applyFont="1" applyFill="1" applyBorder="1">
      <alignment vertical="center"/>
    </xf>
    <xf numFmtId="0" fontId="2" fillId="0" borderId="13" xfId="0" applyFont="1" applyFill="1" applyBorder="1">
      <alignment vertical="center"/>
    </xf>
    <xf numFmtId="178" fontId="2" fillId="0" borderId="12" xfId="0" applyNumberFormat="1" applyFont="1" applyFill="1" applyBorder="1" applyAlignment="1">
      <alignment horizontal="center" vertical="center"/>
    </xf>
    <xf numFmtId="178" fontId="2" fillId="0" borderId="13" xfId="0" applyNumberFormat="1" applyFont="1" applyFill="1" applyBorder="1" applyAlignment="1">
      <alignment horizontal="center" vertical="center"/>
    </xf>
    <xf numFmtId="49" fontId="2" fillId="0" borderId="12" xfId="0" applyNumberFormat="1" applyFont="1" applyFill="1" applyBorder="1">
      <alignment vertical="center"/>
    </xf>
    <xf numFmtId="49" fontId="2" fillId="0" borderId="13" xfId="0" applyNumberFormat="1" applyFont="1" applyFill="1" applyBorder="1">
      <alignment vertical="center"/>
    </xf>
    <xf numFmtId="180" fontId="2" fillId="0" borderId="12" xfId="0" applyNumberFormat="1" applyFont="1" applyFill="1" applyBorder="1">
      <alignment vertical="center"/>
    </xf>
    <xf numFmtId="0" fontId="2" fillId="0" borderId="15" xfId="0" applyFont="1" applyFill="1" applyBorder="1">
      <alignment vertical="center"/>
    </xf>
    <xf numFmtId="0" fontId="2" fillId="5" borderId="15" xfId="0" applyFont="1" applyFill="1" applyBorder="1">
      <alignment vertical="center"/>
    </xf>
    <xf numFmtId="0" fontId="2" fillId="7" borderId="15" xfId="0" applyFont="1" applyFill="1" applyBorder="1">
      <alignment vertical="center"/>
    </xf>
    <xf numFmtId="180" fontId="2" fillId="0" borderId="15" xfId="0" applyNumberFormat="1" applyFont="1" applyFill="1" applyBorder="1">
      <alignment vertical="center"/>
    </xf>
    <xf numFmtId="178" fontId="2" fillId="7" borderId="15" xfId="0" applyNumberFormat="1" applyFont="1" applyFill="1" applyBorder="1" applyAlignment="1">
      <alignment horizontal="center" vertical="center"/>
    </xf>
    <xf numFmtId="49" fontId="2" fillId="0" borderId="15" xfId="0" applyNumberFormat="1" applyFont="1" applyFill="1" applyBorder="1">
      <alignment vertical="center"/>
    </xf>
    <xf numFmtId="179" fontId="2" fillId="5" borderId="15" xfId="0" applyNumberFormat="1" applyFont="1" applyFill="1" applyBorder="1">
      <alignment vertical="center"/>
    </xf>
  </cellXfs>
  <cellStyles count="1">
    <cellStyle name="標準" xfId="0" builtinId="0"/>
  </cellStyles>
  <dxfs count="26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Q1338"/>
  <sheetViews>
    <sheetView showGridLines="0" tabSelected="1" workbookViewId="0">
      <pane ySplit="1" topLeftCell="A12" activePane="bottomLeft" state="frozen"/>
      <selection activeCell="E5" sqref="E5"/>
      <selection pane="bottomLeft" activeCell="M28" sqref="M28"/>
    </sheetView>
  </sheetViews>
  <sheetFormatPr defaultRowHeight="13" x14ac:dyDescent="0.55000000000000004"/>
  <cols>
    <col min="1" max="2" width="8.6640625" style="23"/>
    <col min="3" max="3" width="12" style="23" customWidth="1"/>
    <col min="4" max="8" width="8.6640625" style="23"/>
    <col min="9" max="9" width="2.6640625" style="23" customWidth="1"/>
    <col min="10" max="10" width="8.6640625" style="23"/>
    <col min="11" max="11" width="2.6640625" style="23" customWidth="1"/>
    <col min="12" max="12" width="11.6640625" style="23" customWidth="1"/>
    <col min="13" max="13" width="19.58203125" style="23" customWidth="1"/>
    <col min="14" max="16384" width="8.6640625" style="23"/>
  </cols>
  <sheetData>
    <row r="1" spans="1:17" ht="26" x14ac:dyDescent="0.55000000000000004">
      <c r="A1" s="37" t="s">
        <v>71</v>
      </c>
      <c r="B1" s="19" t="s">
        <v>72</v>
      </c>
      <c r="C1" s="19" t="s">
        <v>73</v>
      </c>
      <c r="D1" s="19" t="s">
        <v>0</v>
      </c>
      <c r="E1" s="20" t="s">
        <v>1</v>
      </c>
      <c r="F1" s="20" t="s">
        <v>2</v>
      </c>
      <c r="G1" s="20" t="s">
        <v>3</v>
      </c>
      <c r="H1" s="40" t="s">
        <v>4</v>
      </c>
      <c r="I1" s="41"/>
      <c r="J1" s="40" t="s">
        <v>5</v>
      </c>
      <c r="K1" s="41"/>
      <c r="L1" s="19" t="s">
        <v>74</v>
      </c>
      <c r="M1" s="20" t="s">
        <v>6</v>
      </c>
      <c r="N1" s="19" t="s">
        <v>62</v>
      </c>
      <c r="O1" s="19" t="s">
        <v>62</v>
      </c>
      <c r="P1" s="21" t="s">
        <v>129</v>
      </c>
      <c r="Q1" s="22" t="s">
        <v>75</v>
      </c>
    </row>
    <row r="2" spans="1:17" ht="15" x14ac:dyDescent="0.55000000000000004">
      <c r="A2" s="42" t="s">
        <v>191</v>
      </c>
      <c r="B2" s="42" t="s">
        <v>195</v>
      </c>
      <c r="C2" s="26" t="str">
        <f t="shared" ref="C2:C33" si="0">camel2snake(B2)</f>
        <v>product_no</v>
      </c>
      <c r="D2" s="42" t="s">
        <v>90</v>
      </c>
      <c r="E2" s="35"/>
      <c r="F2" s="48">
        <v>9</v>
      </c>
      <c r="G2" s="48">
        <v>10</v>
      </c>
      <c r="H2" s="35"/>
      <c r="I2" s="36"/>
      <c r="J2" s="35"/>
      <c r="K2" s="36"/>
      <c r="L2" s="46" t="s">
        <v>95</v>
      </c>
      <c r="M2" s="42" t="s">
        <v>117</v>
      </c>
      <c r="N2" s="26" t="str">
        <f>IFERROR(VLOOKUP(D2,ドメインタイプDATA,6,FALSE)&amp;"","")</f>
        <v>string</v>
      </c>
      <c r="O2" s="26" t="str">
        <f>IFERROR(VLOOKUP(D2,ドメインタイプDATA,7,FALSE)&amp;"","")</f>
        <v/>
      </c>
      <c r="P2" s="34">
        <f ca="1">COUNTIF(派生元項目KEY,A2)</f>
        <v>0</v>
      </c>
      <c r="Q2" s="34">
        <f ca="1">COUNTIF(区分値項目KEY,A2)</f>
        <v>0</v>
      </c>
    </row>
    <row r="3" spans="1:17" ht="15" x14ac:dyDescent="0.55000000000000004">
      <c r="A3" s="42" t="s">
        <v>91</v>
      </c>
      <c r="B3" s="42" t="s">
        <v>93</v>
      </c>
      <c r="C3" s="26" t="str">
        <f t="shared" si="0"/>
        <v>price</v>
      </c>
      <c r="D3" s="42" t="s">
        <v>96</v>
      </c>
      <c r="E3" s="35"/>
      <c r="F3" s="35"/>
      <c r="G3" s="35"/>
      <c r="H3" s="48">
        <v>0</v>
      </c>
      <c r="I3" s="44">
        <v>1</v>
      </c>
      <c r="J3" s="48">
        <v>99999</v>
      </c>
      <c r="K3" s="44">
        <v>1</v>
      </c>
      <c r="L3" s="46" t="s">
        <v>99</v>
      </c>
      <c r="M3" s="42" t="s">
        <v>118</v>
      </c>
      <c r="N3" s="26" t="str">
        <f>IFERROR(VLOOKUP(D3,ドメインタイプDATA,6,FALSE)&amp;"","")</f>
        <v>integer</v>
      </c>
      <c r="O3" s="26" t="str">
        <f>IFERROR(VLOOKUP(D3,ドメインタイプDATA,7,FALSE)&amp;"","")</f>
        <v/>
      </c>
      <c r="P3" s="34">
        <f ca="1">COUNTIF(派生元項目KEY,A3)</f>
        <v>1</v>
      </c>
      <c r="Q3" s="34">
        <f ca="1">COUNTIF(区分値項目KEY,A3)</f>
        <v>0</v>
      </c>
    </row>
    <row r="4" spans="1:17" ht="15" x14ac:dyDescent="0.55000000000000004">
      <c r="A4" s="42" t="s">
        <v>92</v>
      </c>
      <c r="B4" s="42" t="s">
        <v>94</v>
      </c>
      <c r="C4" s="26" t="str">
        <f t="shared" si="0"/>
        <v>up</v>
      </c>
      <c r="D4" s="42" t="s">
        <v>98</v>
      </c>
      <c r="E4" s="35"/>
      <c r="F4" s="35"/>
      <c r="G4" s="35"/>
      <c r="H4" s="48">
        <v>0</v>
      </c>
      <c r="I4" s="44"/>
      <c r="J4" s="48">
        <v>1000</v>
      </c>
      <c r="K4" s="44">
        <v>1</v>
      </c>
      <c r="L4" s="46" t="s">
        <v>100</v>
      </c>
      <c r="M4" s="42" t="s">
        <v>119</v>
      </c>
      <c r="N4" s="26" t="str">
        <f>IFERROR(VLOOKUP(D4,ドメインタイプDATA,6,FALSE)&amp;"","")</f>
        <v>number</v>
      </c>
      <c r="O4" s="26" t="str">
        <f>IFERROR(VLOOKUP(D4,ドメインタイプDATA,7,FALSE)&amp;"","")</f>
        <v/>
      </c>
      <c r="P4" s="34">
        <f ca="1">COUNTIF(派生元項目KEY,A4)</f>
        <v>0</v>
      </c>
      <c r="Q4" s="34">
        <f ca="1">COUNTIF(区分値項目KEY,A4)</f>
        <v>0</v>
      </c>
    </row>
    <row r="5" spans="1:17" ht="15" x14ac:dyDescent="0.55000000000000004">
      <c r="A5" s="42" t="s">
        <v>101</v>
      </c>
      <c r="B5" s="42" t="s">
        <v>228</v>
      </c>
      <c r="C5" s="26" t="str">
        <f t="shared" si="0"/>
        <v>registration_date</v>
      </c>
      <c r="D5" s="42" t="s">
        <v>97</v>
      </c>
      <c r="E5" s="35"/>
      <c r="F5" s="35"/>
      <c r="G5" s="35"/>
      <c r="H5" s="35"/>
      <c r="I5" s="36"/>
      <c r="J5" s="35"/>
      <c r="K5" s="36"/>
      <c r="L5" s="46" t="s">
        <v>102</v>
      </c>
      <c r="M5" s="42" t="s">
        <v>101</v>
      </c>
      <c r="N5" s="26" t="str">
        <f>IFERROR(VLOOKUP(D5,ドメインタイプDATA,6,FALSE)&amp;"","")</f>
        <v>string</v>
      </c>
      <c r="O5" s="26" t="str">
        <f>IFERROR(VLOOKUP(D5,ドメインタイプDATA,7,FALSE)&amp;"","")</f>
        <v>date</v>
      </c>
      <c r="P5" s="34">
        <f ca="1">COUNTIF(派生元項目KEY,A5)</f>
        <v>0</v>
      </c>
      <c r="Q5" s="34">
        <f ca="1">COUNTIF(区分値項目KEY,A5)</f>
        <v>0</v>
      </c>
    </row>
    <row r="6" spans="1:17" ht="15" x14ac:dyDescent="0.55000000000000004">
      <c r="A6" s="42" t="s">
        <v>105</v>
      </c>
      <c r="B6" s="42" t="s">
        <v>106</v>
      </c>
      <c r="C6" s="26" t="str">
        <f t="shared" si="0"/>
        <v>product_kbn</v>
      </c>
      <c r="D6" s="42" t="s">
        <v>116</v>
      </c>
      <c r="E6" s="35"/>
      <c r="F6" s="48"/>
      <c r="G6" s="42"/>
      <c r="H6" s="35"/>
      <c r="I6" s="36"/>
      <c r="J6" s="35"/>
      <c r="K6" s="36"/>
      <c r="L6" s="46" t="s">
        <v>147</v>
      </c>
      <c r="M6" s="42" t="s">
        <v>107</v>
      </c>
      <c r="N6" s="26" t="str">
        <f>IFERROR(VLOOKUP(D6,ドメインタイプDATA,6,FALSE)&amp;"","")</f>
        <v>string</v>
      </c>
      <c r="O6" s="26" t="str">
        <f>IFERROR(VLOOKUP(D6,ドメインタイプDATA,7,FALSE)&amp;"","")</f>
        <v/>
      </c>
      <c r="P6" s="34">
        <f ca="1">COUNTIF(派生元項目KEY,A6)</f>
        <v>0</v>
      </c>
      <c r="Q6" s="34">
        <f ca="1">COUNTIF(区分値項目KEY,A6)</f>
        <v>4</v>
      </c>
    </row>
    <row r="7" spans="1:17" ht="15" x14ac:dyDescent="0.55000000000000004">
      <c r="A7" s="42" t="s">
        <v>121</v>
      </c>
      <c r="B7" s="42" t="s">
        <v>123</v>
      </c>
      <c r="C7" s="26" t="str">
        <f t="shared" si="0"/>
        <v>comment</v>
      </c>
      <c r="D7" s="42" t="s">
        <v>122</v>
      </c>
      <c r="E7" s="46"/>
      <c r="F7" s="48">
        <v>10</v>
      </c>
      <c r="G7" s="35"/>
      <c r="H7" s="35"/>
      <c r="I7" s="36"/>
      <c r="J7" s="35"/>
      <c r="K7" s="36"/>
      <c r="L7" s="46" t="s">
        <v>124</v>
      </c>
      <c r="M7" s="42" t="s">
        <v>121</v>
      </c>
      <c r="N7" s="26" t="str">
        <f>IFERROR(VLOOKUP(D7,ドメインタイプDATA,6,FALSE)&amp;"","")</f>
        <v>string</v>
      </c>
      <c r="O7" s="26" t="str">
        <f>IFERROR(VLOOKUP(D7,ドメインタイプDATA,7,FALSE)&amp;"","")</f>
        <v/>
      </c>
      <c r="P7" s="34">
        <f ca="1">COUNTIF(派生元項目KEY,A7)</f>
        <v>0</v>
      </c>
      <c r="Q7" s="34">
        <f ca="1">COUNTIF(区分値項目KEY,A7)</f>
        <v>0</v>
      </c>
    </row>
    <row r="8" spans="1:17" ht="15" x14ac:dyDescent="0.55000000000000004">
      <c r="A8" s="42" t="s">
        <v>125</v>
      </c>
      <c r="B8" s="42" t="s">
        <v>131</v>
      </c>
      <c r="C8" s="26" t="str">
        <f t="shared" si="0"/>
        <v>can_update</v>
      </c>
      <c r="D8" s="42" t="s">
        <v>126</v>
      </c>
      <c r="E8" s="35"/>
      <c r="F8" s="35"/>
      <c r="G8" s="35"/>
      <c r="H8" s="35"/>
      <c r="I8" s="36"/>
      <c r="J8" s="35"/>
      <c r="K8" s="36"/>
      <c r="L8" s="46" t="s">
        <v>127</v>
      </c>
      <c r="M8" s="42" t="s">
        <v>128</v>
      </c>
      <c r="N8" s="26" t="str">
        <f>IFERROR(VLOOKUP(D8,ドメインタイプDATA,6,FALSE)&amp;"","")</f>
        <v>boolean</v>
      </c>
      <c r="O8" s="26" t="str">
        <f>IFERROR(VLOOKUP(D8,ドメインタイプDATA,7,FALSE)&amp;"","")</f>
        <v/>
      </c>
      <c r="P8" s="34">
        <f ca="1">COUNTIF(派生元項目KEY,A8)</f>
        <v>0</v>
      </c>
      <c r="Q8" s="34">
        <f ca="1">COUNTIF(区分値項目KEY,A8)</f>
        <v>0</v>
      </c>
    </row>
    <row r="9" spans="1:17" ht="15" x14ac:dyDescent="0.55000000000000004">
      <c r="A9" s="42" t="s">
        <v>149</v>
      </c>
      <c r="B9" s="42" t="s">
        <v>215</v>
      </c>
      <c r="C9" s="26" t="str">
        <f t="shared" si="0"/>
        <v>department</v>
      </c>
      <c r="D9" s="42" t="s">
        <v>116</v>
      </c>
      <c r="E9" s="35"/>
      <c r="F9" s="48"/>
      <c r="G9" s="42"/>
      <c r="H9" s="35"/>
      <c r="I9" s="36"/>
      <c r="J9" s="35"/>
      <c r="K9" s="36"/>
      <c r="L9" s="46" t="s">
        <v>177</v>
      </c>
      <c r="M9" s="42" t="s">
        <v>149</v>
      </c>
      <c r="N9" s="26" t="str">
        <f>IFERROR(VLOOKUP(D9,ドメインタイプDATA,6,FALSE)&amp;"","")</f>
        <v>string</v>
      </c>
      <c r="O9" s="26" t="str">
        <f>IFERROR(VLOOKUP(D9,ドメインタイプDATA,7,FALSE)&amp;"","")</f>
        <v/>
      </c>
      <c r="P9" s="34">
        <f ca="1">COUNTIF(派生元項目KEY,A9)</f>
        <v>1</v>
      </c>
      <c r="Q9" s="34">
        <f ca="1">COUNTIF(区分値項目KEY,A9)</f>
        <v>5</v>
      </c>
    </row>
    <row r="10" spans="1:17" ht="15" x14ac:dyDescent="0.55000000000000004">
      <c r="A10" s="42" t="s">
        <v>150</v>
      </c>
      <c r="B10" s="42" t="s">
        <v>157</v>
      </c>
      <c r="C10" s="26" t="str">
        <f t="shared" si="0"/>
        <v>order_date</v>
      </c>
      <c r="D10" s="42" t="s">
        <v>97</v>
      </c>
      <c r="E10" s="35"/>
      <c r="F10" s="35"/>
      <c r="G10" s="35"/>
      <c r="H10" s="35"/>
      <c r="I10" s="36"/>
      <c r="J10" s="35"/>
      <c r="K10" s="36"/>
      <c r="L10" s="46" t="s">
        <v>102</v>
      </c>
      <c r="M10" s="42" t="s">
        <v>150</v>
      </c>
      <c r="N10" s="26" t="str">
        <f>IFERROR(VLOOKUP(D10,ドメインタイプDATA,6,FALSE)&amp;"","")</f>
        <v>string</v>
      </c>
      <c r="O10" s="26" t="str">
        <f>IFERROR(VLOOKUP(D10,ドメインタイプDATA,7,FALSE)&amp;"","")</f>
        <v>date</v>
      </c>
      <c r="P10" s="34">
        <f ca="1">COUNTIF(派生元項目KEY,A10)</f>
        <v>0</v>
      </c>
      <c r="Q10" s="34">
        <f ca="1">COUNTIF(区分値項目KEY,A10)</f>
        <v>0</v>
      </c>
    </row>
    <row r="11" spans="1:17" ht="15" x14ac:dyDescent="0.55000000000000004">
      <c r="A11" s="42" t="s">
        <v>151</v>
      </c>
      <c r="B11" s="42" t="s">
        <v>158</v>
      </c>
      <c r="C11" s="26" t="str">
        <f t="shared" si="0"/>
        <v>quantity</v>
      </c>
      <c r="D11" s="42" t="s">
        <v>96</v>
      </c>
      <c r="E11" s="35"/>
      <c r="F11" s="35"/>
      <c r="G11" s="35"/>
      <c r="H11" s="48">
        <v>0</v>
      </c>
      <c r="I11" s="44">
        <v>1</v>
      </c>
      <c r="J11" s="48">
        <v>99999</v>
      </c>
      <c r="K11" s="44">
        <v>1</v>
      </c>
      <c r="L11" s="46" t="s">
        <v>161</v>
      </c>
      <c r="M11" s="42" t="s">
        <v>151</v>
      </c>
      <c r="N11" s="26" t="str">
        <f>IFERROR(VLOOKUP(D11,ドメインタイプDATA,6,FALSE)&amp;"","")</f>
        <v>integer</v>
      </c>
      <c r="O11" s="26" t="str">
        <f>IFERROR(VLOOKUP(D11,ドメインタイプDATA,7,FALSE)&amp;"","")</f>
        <v/>
      </c>
      <c r="P11" s="34">
        <f ca="1">COUNTIF(派生元項目KEY,A11)</f>
        <v>0</v>
      </c>
      <c r="Q11" s="34">
        <f ca="1">COUNTIF(区分値項目KEY,A11)</f>
        <v>0</v>
      </c>
    </row>
    <row r="12" spans="1:17" ht="15" x14ac:dyDescent="0.55000000000000004">
      <c r="A12" s="42" t="s">
        <v>192</v>
      </c>
      <c r="B12" s="42" t="s">
        <v>196</v>
      </c>
      <c r="C12" s="26" t="str">
        <f t="shared" si="0"/>
        <v>received_order_no</v>
      </c>
      <c r="D12" s="42" t="s">
        <v>90</v>
      </c>
      <c r="E12" s="35"/>
      <c r="F12" s="48">
        <v>10</v>
      </c>
      <c r="G12" s="48">
        <v>10</v>
      </c>
      <c r="H12" s="35"/>
      <c r="I12" s="36"/>
      <c r="J12" s="35"/>
      <c r="K12" s="36"/>
      <c r="L12" s="46" t="s">
        <v>162</v>
      </c>
      <c r="M12" s="42" t="s">
        <v>152</v>
      </c>
      <c r="N12" s="26" t="str">
        <f>IFERROR(VLOOKUP(D12,ドメインタイプDATA,6,FALSE)&amp;"","")</f>
        <v>string</v>
      </c>
      <c r="O12" s="26" t="str">
        <f>IFERROR(VLOOKUP(D12,ドメインタイプDATA,7,FALSE)&amp;"","")</f>
        <v/>
      </c>
      <c r="P12" s="34">
        <f ca="1">COUNTIF(派生元項目KEY,A12)</f>
        <v>0</v>
      </c>
      <c r="Q12" s="34">
        <f ca="1">COUNTIF(区分値項目KEY,A12)</f>
        <v>0</v>
      </c>
    </row>
    <row r="13" spans="1:17" ht="15" x14ac:dyDescent="0.55000000000000004">
      <c r="A13" s="42" t="s">
        <v>153</v>
      </c>
      <c r="B13" s="42" t="s">
        <v>159</v>
      </c>
      <c r="C13" s="26" t="str">
        <f t="shared" si="0"/>
        <v>order_detail_no</v>
      </c>
      <c r="D13" s="42" t="s">
        <v>154</v>
      </c>
      <c r="E13" s="35"/>
      <c r="F13" s="35"/>
      <c r="G13" s="35"/>
      <c r="H13" s="35"/>
      <c r="I13" s="36"/>
      <c r="J13" s="35"/>
      <c r="K13" s="36"/>
      <c r="L13" s="46" t="s">
        <v>163</v>
      </c>
      <c r="M13" s="42" t="s">
        <v>204</v>
      </c>
      <c r="N13" s="26" t="str">
        <f>IFERROR(VLOOKUP(D13,ドメインタイプDATA,6,FALSE)&amp;"","")</f>
        <v>integer</v>
      </c>
      <c r="O13" s="26" t="str">
        <f>IFERROR(VLOOKUP(D13,ドメインタイプDATA,7,FALSE)&amp;"","")</f>
        <v/>
      </c>
      <c r="P13" s="34">
        <f ca="1">COUNTIF(派生元項目KEY,A13)</f>
        <v>0</v>
      </c>
      <c r="Q13" s="34">
        <f ca="1">COUNTIF(区分値項目KEY,A13)</f>
        <v>0</v>
      </c>
    </row>
    <row r="14" spans="1:17" ht="15" x14ac:dyDescent="0.55000000000000004">
      <c r="A14" s="42" t="s">
        <v>155</v>
      </c>
      <c r="B14" s="42" t="s">
        <v>197</v>
      </c>
      <c r="C14" s="26" t="str">
        <f t="shared" si="0"/>
        <v>person_in_charge</v>
      </c>
      <c r="D14" s="42" t="s">
        <v>164</v>
      </c>
      <c r="E14" s="46"/>
      <c r="F14" s="48"/>
      <c r="G14" s="48">
        <v>30</v>
      </c>
      <c r="H14" s="35"/>
      <c r="I14" s="36"/>
      <c r="J14" s="35"/>
      <c r="K14" s="36"/>
      <c r="L14" s="46" t="s">
        <v>165</v>
      </c>
      <c r="M14" s="42" t="s">
        <v>166</v>
      </c>
      <c r="N14" s="26" t="str">
        <f>IFERROR(VLOOKUP(D14,ドメインタイプDATA,6,FALSE)&amp;"","")</f>
        <v>string</v>
      </c>
      <c r="O14" s="26" t="str">
        <f>IFERROR(VLOOKUP(D14,ドメインタイプDATA,7,FALSE)&amp;"","")</f>
        <v/>
      </c>
      <c r="P14" s="34">
        <f ca="1">COUNTIF(派生元項目KEY,A14)</f>
        <v>0</v>
      </c>
      <c r="Q14" s="34">
        <f ca="1">COUNTIF(区分値項目KEY,A14)</f>
        <v>0</v>
      </c>
    </row>
    <row r="15" spans="1:17" ht="15" x14ac:dyDescent="0.55000000000000004">
      <c r="A15" s="42" t="s">
        <v>156</v>
      </c>
      <c r="B15" s="42" t="s">
        <v>160</v>
      </c>
      <c r="C15" s="26" t="str">
        <f t="shared" si="0"/>
        <v>user_id</v>
      </c>
      <c r="D15" s="42" t="s">
        <v>90</v>
      </c>
      <c r="E15" s="35"/>
      <c r="F15" s="48">
        <v>4</v>
      </c>
      <c r="G15" s="48">
        <v>4</v>
      </c>
      <c r="H15" s="35"/>
      <c r="I15" s="36"/>
      <c r="J15" s="35"/>
      <c r="K15" s="36"/>
      <c r="L15" s="46" t="s">
        <v>167</v>
      </c>
      <c r="M15" s="42" t="s">
        <v>168</v>
      </c>
      <c r="N15" s="26" t="str">
        <f>IFERROR(VLOOKUP(D15,ドメインタイプDATA,6,FALSE)&amp;"","")</f>
        <v>string</v>
      </c>
      <c r="O15" s="26" t="str">
        <f>IFERROR(VLOOKUP(D15,ドメインタイプDATA,7,FALSE)&amp;"","")</f>
        <v/>
      </c>
      <c r="P15" s="34">
        <f ca="1">COUNTIF(派生元項目KEY,A15)</f>
        <v>2</v>
      </c>
      <c r="Q15" s="34">
        <f ca="1">COUNTIF(区分値項目KEY,A15)</f>
        <v>0</v>
      </c>
    </row>
    <row r="16" spans="1:17" ht="15" x14ac:dyDescent="0.55000000000000004">
      <c r="A16" s="42" t="s">
        <v>241</v>
      </c>
      <c r="B16" s="42" t="s">
        <v>198</v>
      </c>
      <c r="C16" s="26" t="str">
        <f t="shared" si="0"/>
        <v>product_name</v>
      </c>
      <c r="D16" s="42" t="s">
        <v>164</v>
      </c>
      <c r="E16" s="46"/>
      <c r="F16" s="48"/>
      <c r="G16" s="48">
        <v>100</v>
      </c>
      <c r="H16" s="35"/>
      <c r="I16" s="36"/>
      <c r="J16" s="35"/>
      <c r="K16" s="36"/>
      <c r="L16" s="46" t="s">
        <v>205</v>
      </c>
      <c r="M16" s="42" t="s">
        <v>206</v>
      </c>
      <c r="N16" s="26" t="str">
        <f>IFERROR(VLOOKUP(D16,ドメインタイプDATA,6,FALSE)&amp;"","")</f>
        <v>string</v>
      </c>
      <c r="O16" s="26" t="str">
        <f>IFERROR(VLOOKUP(D16,ドメインタイプDATA,7,FALSE)&amp;"","")</f>
        <v/>
      </c>
      <c r="P16" s="34">
        <f ca="1">COUNTIF(派生元項目KEY,A16)</f>
        <v>0</v>
      </c>
      <c r="Q16" s="34">
        <f ca="1">COUNTIF(区分値項目KEY,A16)</f>
        <v>0</v>
      </c>
    </row>
    <row r="17" spans="1:17" ht="15" x14ac:dyDescent="0.55000000000000004">
      <c r="A17" s="42" t="s">
        <v>189</v>
      </c>
      <c r="B17" s="42" t="s">
        <v>199</v>
      </c>
      <c r="C17" s="26" t="str">
        <f t="shared" si="0"/>
        <v>customer_id</v>
      </c>
      <c r="D17" s="42" t="s">
        <v>90</v>
      </c>
      <c r="E17" s="35"/>
      <c r="F17" s="48">
        <v>3</v>
      </c>
      <c r="G17" s="48">
        <v>3</v>
      </c>
      <c r="H17" s="35"/>
      <c r="I17" s="36"/>
      <c r="J17" s="35"/>
      <c r="K17" s="36"/>
      <c r="L17" s="46" t="s">
        <v>207</v>
      </c>
      <c r="M17" s="42" t="s">
        <v>208</v>
      </c>
      <c r="N17" s="26" t="str">
        <f>IFERROR(VLOOKUP(D17,ドメインタイプDATA,6,FALSE)&amp;"","")</f>
        <v>string</v>
      </c>
      <c r="O17" s="26" t="str">
        <f>IFERROR(VLOOKUP(D17,ドメインタイプDATA,7,FALSE)&amp;"","")</f>
        <v/>
      </c>
      <c r="P17" s="34">
        <f ca="1">COUNTIF(派生元項目KEY,A17)</f>
        <v>0</v>
      </c>
      <c r="Q17" s="34">
        <f ca="1">COUNTIF(区分値項目KEY,A17)</f>
        <v>0</v>
      </c>
    </row>
    <row r="18" spans="1:17" ht="15" x14ac:dyDescent="0.55000000000000004">
      <c r="A18" s="42" t="s">
        <v>242</v>
      </c>
      <c r="B18" s="42" t="s">
        <v>200</v>
      </c>
      <c r="C18" s="26" t="str">
        <f t="shared" si="0"/>
        <v>customer_name</v>
      </c>
      <c r="D18" s="42" t="s">
        <v>164</v>
      </c>
      <c r="E18" s="46"/>
      <c r="F18" s="48"/>
      <c r="G18" s="48">
        <v>100</v>
      </c>
      <c r="H18" s="35"/>
      <c r="I18" s="36"/>
      <c r="J18" s="35"/>
      <c r="K18" s="36"/>
      <c r="L18" s="46" t="s">
        <v>209</v>
      </c>
      <c r="M18" s="42" t="s">
        <v>210</v>
      </c>
      <c r="N18" s="26" t="str">
        <f>IFERROR(VLOOKUP(D18,ドメインタイプDATA,6,FALSE)&amp;"","")</f>
        <v>string</v>
      </c>
      <c r="O18" s="26" t="str">
        <f>IFERROR(VLOOKUP(D18,ドメインタイプDATA,7,FALSE)&amp;"","")</f>
        <v/>
      </c>
      <c r="P18" s="34">
        <f ca="1">COUNTIF(派生元項目KEY,A18)</f>
        <v>0</v>
      </c>
      <c r="Q18" s="34">
        <f ca="1">COUNTIF(区分値項目KEY,A18)</f>
        <v>0</v>
      </c>
    </row>
    <row r="19" spans="1:17" ht="15" x14ac:dyDescent="0.55000000000000004">
      <c r="A19" s="42" t="s">
        <v>190</v>
      </c>
      <c r="B19" s="42" t="s">
        <v>201</v>
      </c>
      <c r="C19" s="26" t="str">
        <f t="shared" si="0"/>
        <v>is_working</v>
      </c>
      <c r="D19" s="42" t="s">
        <v>126</v>
      </c>
      <c r="E19" s="35"/>
      <c r="F19" s="35"/>
      <c r="G19" s="35"/>
      <c r="H19" s="35"/>
      <c r="I19" s="36"/>
      <c r="J19" s="35"/>
      <c r="K19" s="36"/>
      <c r="L19" s="46" t="s">
        <v>211</v>
      </c>
      <c r="M19" s="42" t="s">
        <v>212</v>
      </c>
      <c r="N19" s="26" t="str">
        <f>IFERROR(VLOOKUP(D19,ドメインタイプDATA,6,FALSE)&amp;"","")</f>
        <v>boolean</v>
      </c>
      <c r="O19" s="26" t="str">
        <f>IFERROR(VLOOKUP(D19,ドメインタイプDATA,7,FALSE)&amp;"","")</f>
        <v/>
      </c>
      <c r="P19" s="34">
        <f ca="1">COUNTIF(派生元項目KEY,A19)</f>
        <v>0</v>
      </c>
      <c r="Q19" s="34">
        <f ca="1">COUNTIF(区分値項目KEY,A19)</f>
        <v>0</v>
      </c>
    </row>
    <row r="20" spans="1:17" ht="15" x14ac:dyDescent="0.55000000000000004">
      <c r="A20" s="42" t="s">
        <v>193</v>
      </c>
      <c r="B20" s="42" t="s">
        <v>202</v>
      </c>
      <c r="C20" s="26" t="str">
        <f t="shared" si="0"/>
        <v>profit_rate</v>
      </c>
      <c r="D20" s="42" t="s">
        <v>98</v>
      </c>
      <c r="E20" s="35"/>
      <c r="F20" s="35"/>
      <c r="G20" s="35"/>
      <c r="H20" s="48">
        <v>-10</v>
      </c>
      <c r="I20" s="44">
        <v>1</v>
      </c>
      <c r="J20" s="48">
        <v>10</v>
      </c>
      <c r="K20" s="44">
        <v>1</v>
      </c>
      <c r="L20" s="46" t="s">
        <v>213</v>
      </c>
      <c r="M20" s="42" t="s">
        <v>193</v>
      </c>
      <c r="N20" s="26" t="str">
        <f>IFERROR(VLOOKUP(D20,ドメインタイプDATA,6,FALSE)&amp;"","")</f>
        <v>number</v>
      </c>
      <c r="O20" s="26" t="str">
        <f>IFERROR(VLOOKUP(D20,ドメインタイプDATA,7,FALSE)&amp;"","")</f>
        <v/>
      </c>
      <c r="P20" s="34">
        <f ca="1">COUNTIF(派生元項目KEY,A20)</f>
        <v>0</v>
      </c>
      <c r="Q20" s="34">
        <f ca="1">COUNTIF(区分値項目KEY,A20)</f>
        <v>0</v>
      </c>
    </row>
    <row r="21" spans="1:17" ht="15" x14ac:dyDescent="0.55000000000000004">
      <c r="A21" s="42" t="s">
        <v>194</v>
      </c>
      <c r="B21" s="42" t="s">
        <v>203</v>
      </c>
      <c r="C21" s="26" t="str">
        <f t="shared" si="0"/>
        <v>exclude_report</v>
      </c>
      <c r="D21" s="42" t="s">
        <v>126</v>
      </c>
      <c r="E21" s="35"/>
      <c r="F21" s="35"/>
      <c r="G21" s="35"/>
      <c r="H21" s="35"/>
      <c r="I21" s="36"/>
      <c r="J21" s="35"/>
      <c r="K21" s="36"/>
      <c r="L21" s="46" t="s">
        <v>211</v>
      </c>
      <c r="M21" s="42" t="s">
        <v>214</v>
      </c>
      <c r="N21" s="26" t="str">
        <f>IFERROR(VLOOKUP(D21,ドメインタイプDATA,6,FALSE)&amp;"","")</f>
        <v>boolean</v>
      </c>
      <c r="O21" s="26" t="str">
        <f>IFERROR(VLOOKUP(D21,ドメインタイプDATA,7,FALSE)&amp;"","")</f>
        <v/>
      </c>
      <c r="P21" s="34">
        <f ca="1">COUNTIF(派生元項目KEY,A21)</f>
        <v>0</v>
      </c>
      <c r="Q21" s="34">
        <f ca="1">COUNTIF(区分値項目KEY,A21)</f>
        <v>0</v>
      </c>
    </row>
    <row r="22" spans="1:17" ht="15" x14ac:dyDescent="0.55000000000000004">
      <c r="A22" s="42" t="s">
        <v>220</v>
      </c>
      <c r="B22" s="42" t="s">
        <v>225</v>
      </c>
      <c r="C22" s="26" t="str">
        <f t="shared" si="0"/>
        <v>shipping_time</v>
      </c>
      <c r="D22" s="42" t="s">
        <v>221</v>
      </c>
      <c r="E22" s="46" t="s">
        <v>243</v>
      </c>
      <c r="F22" s="35"/>
      <c r="G22" s="35"/>
      <c r="H22" s="35"/>
      <c r="I22" s="36"/>
      <c r="J22" s="35"/>
      <c r="K22" s="36"/>
      <c r="L22" s="46" t="s">
        <v>222</v>
      </c>
      <c r="M22" s="42" t="s">
        <v>223</v>
      </c>
      <c r="N22" s="26" t="str">
        <f>IFERROR(VLOOKUP(D22,ドメインタイプDATA,6,FALSE)&amp;"","")</f>
        <v>string</v>
      </c>
      <c r="O22" s="26" t="str">
        <f>IFERROR(VLOOKUP(D22,ドメインタイプDATA,7,FALSE)&amp;"","")</f>
        <v/>
      </c>
      <c r="P22" s="34">
        <f ca="1">COUNTIF(派生元項目KEY,A22)</f>
        <v>0</v>
      </c>
      <c r="Q22" s="34">
        <f ca="1">COUNTIF(区分値項目KEY,A22)</f>
        <v>0</v>
      </c>
    </row>
    <row r="23" spans="1:17" ht="15" x14ac:dyDescent="0.55000000000000004">
      <c r="A23" s="42" t="s">
        <v>226</v>
      </c>
      <c r="B23" s="42" t="s">
        <v>229</v>
      </c>
      <c r="C23" s="26" t="str">
        <f t="shared" si="0"/>
        <v>is_active_customer</v>
      </c>
      <c r="D23" s="42" t="s">
        <v>126</v>
      </c>
      <c r="E23" s="35"/>
      <c r="F23" s="35"/>
      <c r="G23" s="35"/>
      <c r="H23" s="35"/>
      <c r="I23" s="36"/>
      <c r="J23" s="35"/>
      <c r="K23" s="36"/>
      <c r="L23" s="46" t="s">
        <v>211</v>
      </c>
      <c r="M23" s="42" t="s">
        <v>231</v>
      </c>
      <c r="N23" s="26" t="str">
        <f>IFERROR(VLOOKUP(D23,ドメインタイプDATA,6,FALSE)&amp;"","")</f>
        <v>boolean</v>
      </c>
      <c r="O23" s="26" t="str">
        <f>IFERROR(VLOOKUP(D23,ドメインタイプDATA,7,FALSE)&amp;"","")</f>
        <v/>
      </c>
      <c r="P23" s="34">
        <f ca="1">COUNTIF(派生元項目KEY,A23)</f>
        <v>0</v>
      </c>
      <c r="Q23" s="34">
        <f ca="1">COUNTIF(区分値項目KEY,A23)</f>
        <v>0</v>
      </c>
    </row>
    <row r="24" spans="1:17" ht="15" x14ac:dyDescent="0.55000000000000004">
      <c r="A24" s="49" t="s">
        <v>227</v>
      </c>
      <c r="B24" s="49" t="s">
        <v>230</v>
      </c>
      <c r="C24" s="50" t="str">
        <f t="shared" si="0"/>
        <v>customer_type</v>
      </c>
      <c r="D24" s="49" t="s">
        <v>116</v>
      </c>
      <c r="E24" s="51"/>
      <c r="F24" s="52"/>
      <c r="G24" s="49"/>
      <c r="H24" s="51"/>
      <c r="I24" s="53"/>
      <c r="J24" s="51"/>
      <c r="K24" s="53"/>
      <c r="L24" s="54" t="s">
        <v>232</v>
      </c>
      <c r="M24" s="49" t="s">
        <v>233</v>
      </c>
      <c r="N24" s="50" t="str">
        <f>IFERROR(VLOOKUP(D24,ドメインタイプDATA,6,FALSE)&amp;"","")</f>
        <v>string</v>
      </c>
      <c r="O24" s="50" t="str">
        <f>IFERROR(VLOOKUP(D24,ドメインタイプDATA,7,FALSE)&amp;"","")</f>
        <v/>
      </c>
      <c r="P24" s="55">
        <f ca="1">COUNTIF(派生元項目KEY,A24)</f>
        <v>0</v>
      </c>
      <c r="Q24" s="55">
        <f ca="1">COUNTIF(区分値項目KEY,A24)</f>
        <v>4</v>
      </c>
    </row>
    <row r="25" spans="1:17" ht="15" x14ac:dyDescent="0.55000000000000004">
      <c r="A25" s="42"/>
      <c r="B25" s="42"/>
      <c r="C25" s="26" t="str">
        <f t="shared" ref="C25:C54" si="1">camel2snake(B25)</f>
        <v/>
      </c>
      <c r="D25" s="42"/>
      <c r="E25" s="42"/>
      <c r="F25" s="42"/>
      <c r="G25" s="42"/>
      <c r="H25" s="42"/>
      <c r="I25" s="44"/>
      <c r="J25" s="42"/>
      <c r="K25" s="44"/>
      <c r="L25" s="46"/>
      <c r="M25" s="42"/>
      <c r="N25" s="26" t="str">
        <f>IFERROR(VLOOKUP(D25,ドメインタイプDATA,6,FALSE)&amp;"","")</f>
        <v/>
      </c>
      <c r="O25" s="26" t="str">
        <f>IFERROR(VLOOKUP(D25,ドメインタイプDATA,7,FALSE)&amp;"","")</f>
        <v/>
      </c>
      <c r="P25" s="34">
        <f ca="1">COUNTIF(派生元項目KEY,A25)</f>
        <v>0</v>
      </c>
      <c r="Q25" s="34">
        <f ca="1">COUNTIF(区分値項目KEY,A25)</f>
        <v>0</v>
      </c>
    </row>
    <row r="26" spans="1:17" ht="15" x14ac:dyDescent="0.55000000000000004">
      <c r="A26" s="42"/>
      <c r="B26" s="42"/>
      <c r="C26" s="26" t="str">
        <f t="shared" si="1"/>
        <v/>
      </c>
      <c r="D26" s="42"/>
      <c r="E26" s="42"/>
      <c r="F26" s="42"/>
      <c r="G26" s="42"/>
      <c r="H26" s="42"/>
      <c r="I26" s="44"/>
      <c r="J26" s="42"/>
      <c r="K26" s="44"/>
      <c r="L26" s="46"/>
      <c r="M26" s="42"/>
      <c r="N26" s="26" t="str">
        <f>IFERROR(VLOOKUP(D26,ドメインタイプDATA,6,FALSE)&amp;"","")</f>
        <v/>
      </c>
      <c r="O26" s="26" t="str">
        <f>IFERROR(VLOOKUP(D26,ドメインタイプDATA,7,FALSE)&amp;"","")</f>
        <v/>
      </c>
      <c r="P26" s="34">
        <f ca="1">COUNTIF(派生元項目KEY,A26)</f>
        <v>0</v>
      </c>
      <c r="Q26" s="34">
        <f ca="1">COUNTIF(区分値項目KEY,A26)</f>
        <v>0</v>
      </c>
    </row>
    <row r="27" spans="1:17" ht="15" x14ac:dyDescent="0.55000000000000004">
      <c r="A27" s="42"/>
      <c r="B27" s="42"/>
      <c r="C27" s="26" t="str">
        <f t="shared" si="1"/>
        <v/>
      </c>
      <c r="D27" s="42"/>
      <c r="E27" s="42"/>
      <c r="F27" s="42"/>
      <c r="G27" s="42"/>
      <c r="H27" s="42"/>
      <c r="I27" s="44"/>
      <c r="J27" s="42"/>
      <c r="K27" s="44"/>
      <c r="L27" s="46"/>
      <c r="M27" s="42"/>
      <c r="N27" s="26" t="str">
        <f>IFERROR(VLOOKUP(D27,ドメインタイプDATA,6,FALSE)&amp;"","")</f>
        <v/>
      </c>
      <c r="O27" s="26" t="str">
        <f>IFERROR(VLOOKUP(D27,ドメインタイプDATA,7,FALSE)&amp;"","")</f>
        <v/>
      </c>
      <c r="P27" s="34">
        <f ca="1">COUNTIF(派生元項目KEY,A27)</f>
        <v>0</v>
      </c>
      <c r="Q27" s="34">
        <f ca="1">COUNTIF(区分値項目KEY,A27)</f>
        <v>0</v>
      </c>
    </row>
    <row r="28" spans="1:17" ht="15" x14ac:dyDescent="0.55000000000000004">
      <c r="A28" s="42"/>
      <c r="B28" s="42"/>
      <c r="C28" s="26" t="str">
        <f t="shared" si="1"/>
        <v/>
      </c>
      <c r="D28" s="42"/>
      <c r="E28" s="42"/>
      <c r="F28" s="42"/>
      <c r="G28" s="42"/>
      <c r="H28" s="42"/>
      <c r="I28" s="44"/>
      <c r="J28" s="42"/>
      <c r="K28" s="44"/>
      <c r="L28" s="46"/>
      <c r="M28" s="42"/>
      <c r="N28" s="26" t="str">
        <f>IFERROR(VLOOKUP(D28,ドメインタイプDATA,6,FALSE)&amp;"","")</f>
        <v/>
      </c>
      <c r="O28" s="26" t="str">
        <f>IFERROR(VLOOKUP(D28,ドメインタイプDATA,7,FALSE)&amp;"","")</f>
        <v/>
      </c>
      <c r="P28" s="34">
        <f ca="1">COUNTIF(派生元項目KEY,A28)</f>
        <v>0</v>
      </c>
      <c r="Q28" s="34">
        <f ca="1">COUNTIF(区分値項目KEY,A28)</f>
        <v>0</v>
      </c>
    </row>
    <row r="29" spans="1:17" ht="15" x14ac:dyDescent="0.55000000000000004">
      <c r="A29" s="42"/>
      <c r="B29" s="42"/>
      <c r="C29" s="26" t="str">
        <f t="shared" si="1"/>
        <v/>
      </c>
      <c r="D29" s="42"/>
      <c r="E29" s="42"/>
      <c r="F29" s="42"/>
      <c r="G29" s="42"/>
      <c r="H29" s="42"/>
      <c r="I29" s="44"/>
      <c r="J29" s="42"/>
      <c r="K29" s="44"/>
      <c r="L29" s="46"/>
      <c r="M29" s="42"/>
      <c r="N29" s="26" t="str">
        <f>IFERROR(VLOOKUP(D29,ドメインタイプDATA,6,FALSE)&amp;"","")</f>
        <v/>
      </c>
      <c r="O29" s="26" t="str">
        <f>IFERROR(VLOOKUP(D29,ドメインタイプDATA,7,FALSE)&amp;"","")</f>
        <v/>
      </c>
      <c r="P29" s="34">
        <f ca="1">COUNTIF(派生元項目KEY,A29)</f>
        <v>0</v>
      </c>
      <c r="Q29" s="34">
        <f ca="1">COUNTIF(区分値項目KEY,A29)</f>
        <v>0</v>
      </c>
    </row>
    <row r="30" spans="1:17" ht="15" x14ac:dyDescent="0.55000000000000004">
      <c r="A30" s="42"/>
      <c r="B30" s="42"/>
      <c r="C30" s="26" t="str">
        <f t="shared" si="1"/>
        <v/>
      </c>
      <c r="D30" s="42"/>
      <c r="E30" s="42"/>
      <c r="F30" s="42"/>
      <c r="G30" s="42"/>
      <c r="H30" s="42"/>
      <c r="I30" s="44"/>
      <c r="J30" s="42"/>
      <c r="K30" s="44"/>
      <c r="L30" s="46"/>
      <c r="M30" s="42"/>
      <c r="N30" s="26" t="str">
        <f>IFERROR(VLOOKUP(D30,ドメインタイプDATA,6,FALSE)&amp;"","")</f>
        <v/>
      </c>
      <c r="O30" s="26" t="str">
        <f>IFERROR(VLOOKUP(D30,ドメインタイプDATA,7,FALSE)&amp;"","")</f>
        <v/>
      </c>
      <c r="P30" s="34">
        <f ca="1">COUNTIF(派生元項目KEY,A30)</f>
        <v>0</v>
      </c>
      <c r="Q30" s="34">
        <f ca="1">COUNTIF(区分値項目KEY,A30)</f>
        <v>0</v>
      </c>
    </row>
    <row r="31" spans="1:17" ht="15" x14ac:dyDescent="0.55000000000000004">
      <c r="A31" s="42"/>
      <c r="B31" s="42"/>
      <c r="C31" s="26" t="str">
        <f t="shared" si="1"/>
        <v/>
      </c>
      <c r="D31" s="42"/>
      <c r="E31" s="42"/>
      <c r="F31" s="42"/>
      <c r="G31" s="42"/>
      <c r="H31" s="42"/>
      <c r="I31" s="44"/>
      <c r="J31" s="42"/>
      <c r="K31" s="44"/>
      <c r="L31" s="46"/>
      <c r="M31" s="42"/>
      <c r="N31" s="26" t="str">
        <f>IFERROR(VLOOKUP(D31,ドメインタイプDATA,6,FALSE)&amp;"","")</f>
        <v/>
      </c>
      <c r="O31" s="26" t="str">
        <f>IFERROR(VLOOKUP(D31,ドメインタイプDATA,7,FALSE)&amp;"","")</f>
        <v/>
      </c>
      <c r="P31" s="34">
        <f ca="1">COUNTIF(派生元項目KEY,A31)</f>
        <v>0</v>
      </c>
      <c r="Q31" s="34">
        <f ca="1">COUNTIF(区分値項目KEY,A31)</f>
        <v>0</v>
      </c>
    </row>
    <row r="32" spans="1:17" ht="15" x14ac:dyDescent="0.55000000000000004">
      <c r="A32" s="42"/>
      <c r="B32" s="42"/>
      <c r="C32" s="26" t="str">
        <f t="shared" si="1"/>
        <v/>
      </c>
      <c r="D32" s="42"/>
      <c r="E32" s="42"/>
      <c r="F32" s="42"/>
      <c r="G32" s="42"/>
      <c r="H32" s="42"/>
      <c r="I32" s="44"/>
      <c r="J32" s="42"/>
      <c r="K32" s="44"/>
      <c r="L32" s="46"/>
      <c r="M32" s="42"/>
      <c r="N32" s="26" t="str">
        <f>IFERROR(VLOOKUP(D32,ドメインタイプDATA,6,FALSE)&amp;"","")</f>
        <v/>
      </c>
      <c r="O32" s="26" t="str">
        <f>IFERROR(VLOOKUP(D32,ドメインタイプDATA,7,FALSE)&amp;"","")</f>
        <v/>
      </c>
      <c r="P32" s="34">
        <f ca="1">COUNTIF(派生元項目KEY,A32)</f>
        <v>0</v>
      </c>
      <c r="Q32" s="34">
        <f ca="1">COUNTIF(区分値項目KEY,A32)</f>
        <v>0</v>
      </c>
    </row>
    <row r="33" spans="1:17" ht="15" x14ac:dyDescent="0.55000000000000004">
      <c r="A33" s="42"/>
      <c r="B33" s="42"/>
      <c r="C33" s="26" t="str">
        <f t="shared" si="1"/>
        <v/>
      </c>
      <c r="D33" s="42"/>
      <c r="E33" s="42"/>
      <c r="F33" s="42"/>
      <c r="G33" s="42"/>
      <c r="H33" s="42"/>
      <c r="I33" s="44"/>
      <c r="J33" s="42"/>
      <c r="K33" s="44"/>
      <c r="L33" s="46"/>
      <c r="M33" s="42"/>
      <c r="N33" s="26" t="str">
        <f>IFERROR(VLOOKUP(D33,ドメインタイプDATA,6,FALSE)&amp;"","")</f>
        <v/>
      </c>
      <c r="O33" s="26" t="str">
        <f>IFERROR(VLOOKUP(D33,ドメインタイプDATA,7,FALSE)&amp;"","")</f>
        <v/>
      </c>
      <c r="P33" s="34">
        <f ca="1">COUNTIF(派生元項目KEY,A33)</f>
        <v>0</v>
      </c>
      <c r="Q33" s="34">
        <f ca="1">COUNTIF(区分値項目KEY,A33)</f>
        <v>0</v>
      </c>
    </row>
    <row r="34" spans="1:17" ht="15" x14ac:dyDescent="0.55000000000000004">
      <c r="A34" s="42"/>
      <c r="B34" s="42"/>
      <c r="C34" s="26" t="str">
        <f t="shared" si="1"/>
        <v/>
      </c>
      <c r="D34" s="42"/>
      <c r="E34" s="42"/>
      <c r="F34" s="42"/>
      <c r="G34" s="42"/>
      <c r="H34" s="42"/>
      <c r="I34" s="44"/>
      <c r="J34" s="42"/>
      <c r="K34" s="44"/>
      <c r="L34" s="46"/>
      <c r="M34" s="42"/>
      <c r="N34" s="26" t="str">
        <f>IFERROR(VLOOKUP(D34,ドメインタイプDATA,6,FALSE)&amp;"","")</f>
        <v/>
      </c>
      <c r="O34" s="26" t="str">
        <f>IFERROR(VLOOKUP(D34,ドメインタイプDATA,7,FALSE)&amp;"","")</f>
        <v/>
      </c>
      <c r="P34" s="34">
        <f ca="1">COUNTIF(派生元項目KEY,A34)</f>
        <v>0</v>
      </c>
      <c r="Q34" s="34">
        <f ca="1">COUNTIF(区分値項目KEY,A34)</f>
        <v>0</v>
      </c>
    </row>
    <row r="35" spans="1:17" ht="15" x14ac:dyDescent="0.55000000000000004">
      <c r="A35" s="42"/>
      <c r="B35" s="42"/>
      <c r="C35" s="26" t="str">
        <f t="shared" si="1"/>
        <v/>
      </c>
      <c r="D35" s="42"/>
      <c r="E35" s="42"/>
      <c r="F35" s="42"/>
      <c r="G35" s="42"/>
      <c r="H35" s="42"/>
      <c r="I35" s="44"/>
      <c r="J35" s="42"/>
      <c r="K35" s="44"/>
      <c r="L35" s="46"/>
      <c r="M35" s="42"/>
      <c r="N35" s="26" t="str">
        <f>IFERROR(VLOOKUP(D35,ドメインタイプDATA,6,FALSE)&amp;"","")</f>
        <v/>
      </c>
      <c r="O35" s="26" t="str">
        <f>IFERROR(VLOOKUP(D35,ドメインタイプDATA,7,FALSE)&amp;"","")</f>
        <v/>
      </c>
      <c r="P35" s="34">
        <f ca="1">COUNTIF(派生元項目KEY,A35)</f>
        <v>0</v>
      </c>
      <c r="Q35" s="34">
        <f ca="1">COUNTIF(区分値項目KEY,A35)</f>
        <v>0</v>
      </c>
    </row>
    <row r="36" spans="1:17" ht="15" x14ac:dyDescent="0.55000000000000004">
      <c r="A36" s="42"/>
      <c r="B36" s="42"/>
      <c r="C36" s="26" t="str">
        <f t="shared" si="1"/>
        <v/>
      </c>
      <c r="D36" s="42"/>
      <c r="E36" s="42"/>
      <c r="F36" s="42"/>
      <c r="G36" s="42"/>
      <c r="H36" s="42"/>
      <c r="I36" s="44"/>
      <c r="J36" s="42"/>
      <c r="K36" s="44"/>
      <c r="L36" s="46"/>
      <c r="M36" s="42"/>
      <c r="N36" s="26" t="str">
        <f>IFERROR(VLOOKUP(D36,ドメインタイプDATA,6,FALSE)&amp;"","")</f>
        <v/>
      </c>
      <c r="O36" s="26" t="str">
        <f>IFERROR(VLOOKUP(D36,ドメインタイプDATA,7,FALSE)&amp;"","")</f>
        <v/>
      </c>
      <c r="P36" s="34">
        <f ca="1">COUNTIF(派生元項目KEY,A36)</f>
        <v>0</v>
      </c>
      <c r="Q36" s="34">
        <f ca="1">COUNTIF(区分値項目KEY,A36)</f>
        <v>0</v>
      </c>
    </row>
    <row r="37" spans="1:17" ht="15" x14ac:dyDescent="0.55000000000000004">
      <c r="A37" s="42"/>
      <c r="B37" s="42"/>
      <c r="C37" s="26" t="str">
        <f t="shared" si="1"/>
        <v/>
      </c>
      <c r="D37" s="42"/>
      <c r="E37" s="42"/>
      <c r="F37" s="42"/>
      <c r="G37" s="42"/>
      <c r="H37" s="42"/>
      <c r="I37" s="44"/>
      <c r="J37" s="42"/>
      <c r="K37" s="44"/>
      <c r="L37" s="46"/>
      <c r="M37" s="42"/>
      <c r="N37" s="26" t="str">
        <f>IFERROR(VLOOKUP(D37,ドメインタイプDATA,6,FALSE)&amp;"","")</f>
        <v/>
      </c>
      <c r="O37" s="26" t="str">
        <f>IFERROR(VLOOKUP(D37,ドメインタイプDATA,7,FALSE)&amp;"","")</f>
        <v/>
      </c>
      <c r="P37" s="34">
        <f ca="1">COUNTIF(派生元項目KEY,A37)</f>
        <v>0</v>
      </c>
      <c r="Q37" s="34">
        <f ca="1">COUNTIF(区分値項目KEY,A37)</f>
        <v>0</v>
      </c>
    </row>
    <row r="38" spans="1:17" ht="15" x14ac:dyDescent="0.55000000000000004">
      <c r="A38" s="42"/>
      <c r="B38" s="42"/>
      <c r="C38" s="26" t="str">
        <f t="shared" si="1"/>
        <v/>
      </c>
      <c r="D38" s="42"/>
      <c r="E38" s="42"/>
      <c r="F38" s="42"/>
      <c r="G38" s="42"/>
      <c r="H38" s="42"/>
      <c r="I38" s="44"/>
      <c r="J38" s="42"/>
      <c r="K38" s="44"/>
      <c r="L38" s="46"/>
      <c r="M38" s="42"/>
      <c r="N38" s="26" t="str">
        <f>IFERROR(VLOOKUP(D38,ドメインタイプDATA,6,FALSE)&amp;"","")</f>
        <v/>
      </c>
      <c r="O38" s="26" t="str">
        <f>IFERROR(VLOOKUP(D38,ドメインタイプDATA,7,FALSE)&amp;"","")</f>
        <v/>
      </c>
      <c r="P38" s="34">
        <f ca="1">COUNTIF(派生元項目KEY,A38)</f>
        <v>0</v>
      </c>
      <c r="Q38" s="34">
        <f ca="1">COUNTIF(区分値項目KEY,A38)</f>
        <v>0</v>
      </c>
    </row>
    <row r="39" spans="1:17" ht="15" x14ac:dyDescent="0.55000000000000004">
      <c r="A39" s="42"/>
      <c r="B39" s="42"/>
      <c r="C39" s="26" t="str">
        <f t="shared" si="1"/>
        <v/>
      </c>
      <c r="D39" s="42"/>
      <c r="E39" s="42"/>
      <c r="F39" s="42"/>
      <c r="G39" s="42"/>
      <c r="H39" s="42"/>
      <c r="I39" s="44"/>
      <c r="J39" s="42"/>
      <c r="K39" s="44"/>
      <c r="L39" s="46"/>
      <c r="M39" s="42"/>
      <c r="N39" s="26" t="str">
        <f>IFERROR(VLOOKUP(D39,ドメインタイプDATA,6,FALSE)&amp;"","")</f>
        <v/>
      </c>
      <c r="O39" s="26" t="str">
        <f>IFERROR(VLOOKUP(D39,ドメインタイプDATA,7,FALSE)&amp;"","")</f>
        <v/>
      </c>
      <c r="P39" s="34">
        <f ca="1">COUNTIF(派生元項目KEY,A39)</f>
        <v>0</v>
      </c>
      <c r="Q39" s="34">
        <f ca="1">COUNTIF(区分値項目KEY,A39)</f>
        <v>0</v>
      </c>
    </row>
    <row r="40" spans="1:17" ht="15" x14ac:dyDescent="0.55000000000000004">
      <c r="A40" s="42"/>
      <c r="B40" s="42"/>
      <c r="C40" s="26" t="str">
        <f t="shared" si="1"/>
        <v/>
      </c>
      <c r="D40" s="42"/>
      <c r="E40" s="42"/>
      <c r="F40" s="42"/>
      <c r="G40" s="42"/>
      <c r="H40" s="42"/>
      <c r="I40" s="44"/>
      <c r="J40" s="42"/>
      <c r="K40" s="44"/>
      <c r="L40" s="46"/>
      <c r="M40" s="42"/>
      <c r="N40" s="26" t="str">
        <f>IFERROR(VLOOKUP(D40,ドメインタイプDATA,6,FALSE)&amp;"","")</f>
        <v/>
      </c>
      <c r="O40" s="26" t="str">
        <f>IFERROR(VLOOKUP(D40,ドメインタイプDATA,7,FALSE)&amp;"","")</f>
        <v/>
      </c>
      <c r="P40" s="34">
        <f ca="1">COUNTIF(派生元項目KEY,A40)</f>
        <v>0</v>
      </c>
      <c r="Q40" s="34">
        <f ca="1">COUNTIF(区分値項目KEY,A40)</f>
        <v>0</v>
      </c>
    </row>
    <row r="41" spans="1:17" ht="15" x14ac:dyDescent="0.55000000000000004">
      <c r="A41" s="42"/>
      <c r="B41" s="42"/>
      <c r="C41" s="26" t="str">
        <f t="shared" si="1"/>
        <v/>
      </c>
      <c r="D41" s="42"/>
      <c r="E41" s="42"/>
      <c r="F41" s="42"/>
      <c r="G41" s="42"/>
      <c r="H41" s="42"/>
      <c r="I41" s="44"/>
      <c r="J41" s="42"/>
      <c r="K41" s="44"/>
      <c r="L41" s="46"/>
      <c r="M41" s="42"/>
      <c r="N41" s="26" t="str">
        <f>IFERROR(VLOOKUP(D41,ドメインタイプDATA,6,FALSE)&amp;"","")</f>
        <v/>
      </c>
      <c r="O41" s="26" t="str">
        <f>IFERROR(VLOOKUP(D41,ドメインタイプDATA,7,FALSE)&amp;"","")</f>
        <v/>
      </c>
      <c r="P41" s="34">
        <f ca="1">COUNTIF(派生元項目KEY,A41)</f>
        <v>0</v>
      </c>
      <c r="Q41" s="34">
        <f ca="1">COUNTIF(区分値項目KEY,A41)</f>
        <v>0</v>
      </c>
    </row>
    <row r="42" spans="1:17" ht="15" x14ac:dyDescent="0.55000000000000004">
      <c r="A42" s="42"/>
      <c r="B42" s="42"/>
      <c r="C42" s="26" t="str">
        <f t="shared" si="1"/>
        <v/>
      </c>
      <c r="D42" s="42"/>
      <c r="E42" s="42"/>
      <c r="F42" s="42"/>
      <c r="G42" s="42"/>
      <c r="H42" s="42"/>
      <c r="I42" s="44"/>
      <c r="J42" s="42"/>
      <c r="K42" s="44"/>
      <c r="L42" s="46"/>
      <c r="M42" s="42"/>
      <c r="N42" s="26" t="str">
        <f>IFERROR(VLOOKUP(D42,ドメインタイプDATA,6,FALSE)&amp;"","")</f>
        <v/>
      </c>
      <c r="O42" s="26" t="str">
        <f>IFERROR(VLOOKUP(D42,ドメインタイプDATA,7,FALSE)&amp;"","")</f>
        <v/>
      </c>
      <c r="P42" s="34">
        <f ca="1">COUNTIF(派生元項目KEY,A42)</f>
        <v>0</v>
      </c>
      <c r="Q42" s="34">
        <f ca="1">COUNTIF(区分値項目KEY,A42)</f>
        <v>0</v>
      </c>
    </row>
    <row r="43" spans="1:17" ht="15" x14ac:dyDescent="0.55000000000000004">
      <c r="A43" s="42"/>
      <c r="B43" s="42"/>
      <c r="C43" s="26" t="str">
        <f t="shared" si="1"/>
        <v/>
      </c>
      <c r="D43" s="42"/>
      <c r="E43" s="42"/>
      <c r="F43" s="42"/>
      <c r="G43" s="42"/>
      <c r="H43" s="42"/>
      <c r="I43" s="44"/>
      <c r="J43" s="42"/>
      <c r="K43" s="44"/>
      <c r="L43" s="46"/>
      <c r="M43" s="42"/>
      <c r="N43" s="26" t="str">
        <f>IFERROR(VLOOKUP(D43,ドメインタイプDATA,6,FALSE)&amp;"","")</f>
        <v/>
      </c>
      <c r="O43" s="26" t="str">
        <f>IFERROR(VLOOKUP(D43,ドメインタイプDATA,7,FALSE)&amp;"","")</f>
        <v/>
      </c>
      <c r="P43" s="34">
        <f ca="1">COUNTIF(派生元項目KEY,A43)</f>
        <v>0</v>
      </c>
      <c r="Q43" s="34">
        <f ca="1">COUNTIF(区分値項目KEY,A43)</f>
        <v>0</v>
      </c>
    </row>
    <row r="44" spans="1:17" ht="15" x14ac:dyDescent="0.55000000000000004">
      <c r="A44" s="42"/>
      <c r="B44" s="42"/>
      <c r="C44" s="26" t="str">
        <f t="shared" si="1"/>
        <v/>
      </c>
      <c r="D44" s="42"/>
      <c r="E44" s="42"/>
      <c r="F44" s="42"/>
      <c r="G44" s="42"/>
      <c r="H44" s="42"/>
      <c r="I44" s="44"/>
      <c r="J44" s="42"/>
      <c r="K44" s="44"/>
      <c r="L44" s="46"/>
      <c r="M44" s="42"/>
      <c r="N44" s="26" t="str">
        <f>IFERROR(VLOOKUP(D44,ドメインタイプDATA,6,FALSE)&amp;"","")</f>
        <v/>
      </c>
      <c r="O44" s="26" t="str">
        <f>IFERROR(VLOOKUP(D44,ドメインタイプDATA,7,FALSE)&amp;"","")</f>
        <v/>
      </c>
      <c r="P44" s="34">
        <f ca="1">COUNTIF(派生元項目KEY,A44)</f>
        <v>0</v>
      </c>
      <c r="Q44" s="34">
        <f ca="1">COUNTIF(区分値項目KEY,A44)</f>
        <v>0</v>
      </c>
    </row>
    <row r="45" spans="1:17" ht="15" x14ac:dyDescent="0.55000000000000004">
      <c r="A45" s="42"/>
      <c r="B45" s="42"/>
      <c r="C45" s="26" t="str">
        <f t="shared" si="1"/>
        <v/>
      </c>
      <c r="D45" s="42"/>
      <c r="E45" s="42"/>
      <c r="F45" s="42"/>
      <c r="G45" s="42"/>
      <c r="H45" s="42"/>
      <c r="I45" s="44"/>
      <c r="J45" s="42"/>
      <c r="K45" s="44"/>
      <c r="L45" s="46"/>
      <c r="M45" s="42"/>
      <c r="N45" s="26" t="str">
        <f>IFERROR(VLOOKUP(D45,ドメインタイプDATA,6,FALSE)&amp;"","")</f>
        <v/>
      </c>
      <c r="O45" s="26" t="str">
        <f>IFERROR(VLOOKUP(D45,ドメインタイプDATA,7,FALSE)&amp;"","")</f>
        <v/>
      </c>
      <c r="P45" s="34">
        <f ca="1">COUNTIF(派生元項目KEY,A45)</f>
        <v>0</v>
      </c>
      <c r="Q45" s="34">
        <f ca="1">COUNTIF(区分値項目KEY,A45)</f>
        <v>0</v>
      </c>
    </row>
    <row r="46" spans="1:17" ht="15" x14ac:dyDescent="0.55000000000000004">
      <c r="A46" s="42"/>
      <c r="B46" s="42"/>
      <c r="C46" s="26" t="str">
        <f t="shared" si="1"/>
        <v/>
      </c>
      <c r="D46" s="42"/>
      <c r="E46" s="42"/>
      <c r="F46" s="42"/>
      <c r="G46" s="42"/>
      <c r="H46" s="42"/>
      <c r="I46" s="44"/>
      <c r="J46" s="42"/>
      <c r="K46" s="44"/>
      <c r="L46" s="46"/>
      <c r="M46" s="42"/>
      <c r="N46" s="26" t="str">
        <f>IFERROR(VLOOKUP(D46,ドメインタイプDATA,6,FALSE)&amp;"","")</f>
        <v/>
      </c>
      <c r="O46" s="26" t="str">
        <f>IFERROR(VLOOKUP(D46,ドメインタイプDATA,7,FALSE)&amp;"","")</f>
        <v/>
      </c>
      <c r="P46" s="34">
        <f ca="1">COUNTIF(派生元項目KEY,A46)</f>
        <v>0</v>
      </c>
      <c r="Q46" s="34">
        <f ca="1">COUNTIF(区分値項目KEY,A46)</f>
        <v>0</v>
      </c>
    </row>
    <row r="47" spans="1:17" ht="15" x14ac:dyDescent="0.55000000000000004">
      <c r="A47" s="42"/>
      <c r="B47" s="42"/>
      <c r="C47" s="26" t="str">
        <f t="shared" si="1"/>
        <v/>
      </c>
      <c r="D47" s="42"/>
      <c r="E47" s="42"/>
      <c r="F47" s="42"/>
      <c r="G47" s="42"/>
      <c r="H47" s="42"/>
      <c r="I47" s="44"/>
      <c r="J47" s="42"/>
      <c r="K47" s="44"/>
      <c r="L47" s="46"/>
      <c r="M47" s="42"/>
      <c r="N47" s="26" t="str">
        <f>IFERROR(VLOOKUP(D47,ドメインタイプDATA,6,FALSE)&amp;"","")</f>
        <v/>
      </c>
      <c r="O47" s="26" t="str">
        <f>IFERROR(VLOOKUP(D47,ドメインタイプDATA,7,FALSE)&amp;"","")</f>
        <v/>
      </c>
      <c r="P47" s="34">
        <f ca="1">COUNTIF(派生元項目KEY,A47)</f>
        <v>0</v>
      </c>
      <c r="Q47" s="34">
        <f ca="1">COUNTIF(区分値項目KEY,A47)</f>
        <v>0</v>
      </c>
    </row>
    <row r="48" spans="1:17" ht="15" x14ac:dyDescent="0.55000000000000004">
      <c r="A48" s="42"/>
      <c r="B48" s="42"/>
      <c r="C48" s="26" t="str">
        <f t="shared" si="1"/>
        <v/>
      </c>
      <c r="D48" s="42"/>
      <c r="E48" s="42"/>
      <c r="F48" s="42"/>
      <c r="G48" s="42"/>
      <c r="H48" s="42"/>
      <c r="I48" s="44"/>
      <c r="J48" s="42"/>
      <c r="K48" s="44"/>
      <c r="L48" s="46"/>
      <c r="M48" s="42"/>
      <c r="N48" s="26" t="str">
        <f>IFERROR(VLOOKUP(D48,ドメインタイプDATA,6,FALSE)&amp;"","")</f>
        <v/>
      </c>
      <c r="O48" s="26" t="str">
        <f>IFERROR(VLOOKUP(D48,ドメインタイプDATA,7,FALSE)&amp;"","")</f>
        <v/>
      </c>
      <c r="P48" s="34">
        <f ca="1">COUNTIF(派生元項目KEY,A48)</f>
        <v>0</v>
      </c>
      <c r="Q48" s="34">
        <f ca="1">COUNTIF(区分値項目KEY,A48)</f>
        <v>0</v>
      </c>
    </row>
    <row r="49" spans="1:17" ht="15" x14ac:dyDescent="0.55000000000000004">
      <c r="A49" s="42"/>
      <c r="B49" s="42"/>
      <c r="C49" s="26" t="str">
        <f t="shared" si="1"/>
        <v/>
      </c>
      <c r="D49" s="42"/>
      <c r="E49" s="42"/>
      <c r="F49" s="42"/>
      <c r="G49" s="42"/>
      <c r="H49" s="42"/>
      <c r="I49" s="44"/>
      <c r="J49" s="42"/>
      <c r="K49" s="44"/>
      <c r="L49" s="46"/>
      <c r="M49" s="42"/>
      <c r="N49" s="26" t="str">
        <f>IFERROR(VLOOKUP(D49,ドメインタイプDATA,6,FALSE)&amp;"","")</f>
        <v/>
      </c>
      <c r="O49" s="26" t="str">
        <f>IFERROR(VLOOKUP(D49,ドメインタイプDATA,7,FALSE)&amp;"","")</f>
        <v/>
      </c>
      <c r="P49" s="34">
        <f ca="1">COUNTIF(派生元項目KEY,A49)</f>
        <v>0</v>
      </c>
      <c r="Q49" s="34">
        <f ca="1">COUNTIF(区分値項目KEY,A49)</f>
        <v>0</v>
      </c>
    </row>
    <row r="50" spans="1:17" ht="15" x14ac:dyDescent="0.55000000000000004">
      <c r="A50" s="42"/>
      <c r="B50" s="42"/>
      <c r="C50" s="26" t="str">
        <f t="shared" si="1"/>
        <v/>
      </c>
      <c r="D50" s="42"/>
      <c r="E50" s="42"/>
      <c r="F50" s="42"/>
      <c r="G50" s="42"/>
      <c r="H50" s="42"/>
      <c r="I50" s="44"/>
      <c r="J50" s="42"/>
      <c r="K50" s="44"/>
      <c r="L50" s="46"/>
      <c r="M50" s="42"/>
      <c r="N50" s="26" t="str">
        <f>IFERROR(VLOOKUP(D50,ドメインタイプDATA,6,FALSE)&amp;"","")</f>
        <v/>
      </c>
      <c r="O50" s="26" t="str">
        <f>IFERROR(VLOOKUP(D50,ドメインタイプDATA,7,FALSE)&amp;"","")</f>
        <v/>
      </c>
      <c r="P50" s="34">
        <f ca="1">COUNTIF(派生元項目KEY,A50)</f>
        <v>0</v>
      </c>
      <c r="Q50" s="34">
        <f ca="1">COUNTIF(区分値項目KEY,A50)</f>
        <v>0</v>
      </c>
    </row>
    <row r="51" spans="1:17" ht="15" x14ac:dyDescent="0.55000000000000004">
      <c r="A51" s="42"/>
      <c r="B51" s="42"/>
      <c r="C51" s="26" t="str">
        <f t="shared" si="1"/>
        <v/>
      </c>
      <c r="D51" s="42"/>
      <c r="E51" s="42"/>
      <c r="F51" s="42"/>
      <c r="G51" s="42"/>
      <c r="H51" s="42"/>
      <c r="I51" s="44"/>
      <c r="J51" s="42"/>
      <c r="K51" s="44"/>
      <c r="L51" s="46"/>
      <c r="M51" s="42"/>
      <c r="N51" s="26" t="str">
        <f>IFERROR(VLOOKUP(D51,ドメインタイプDATA,6,FALSE)&amp;"","")</f>
        <v/>
      </c>
      <c r="O51" s="26" t="str">
        <f>IFERROR(VLOOKUP(D51,ドメインタイプDATA,7,FALSE)&amp;"","")</f>
        <v/>
      </c>
      <c r="P51" s="34">
        <f ca="1">COUNTIF(派生元項目KEY,A51)</f>
        <v>0</v>
      </c>
      <c r="Q51" s="34">
        <f ca="1">COUNTIF(区分値項目KEY,A51)</f>
        <v>0</v>
      </c>
    </row>
    <row r="52" spans="1:17" ht="15" x14ac:dyDescent="0.55000000000000004">
      <c r="A52" s="42"/>
      <c r="B52" s="42"/>
      <c r="C52" s="26" t="str">
        <f t="shared" si="1"/>
        <v/>
      </c>
      <c r="D52" s="42"/>
      <c r="E52" s="42"/>
      <c r="F52" s="42"/>
      <c r="G52" s="42"/>
      <c r="H52" s="42"/>
      <c r="I52" s="44"/>
      <c r="J52" s="42"/>
      <c r="K52" s="44"/>
      <c r="L52" s="46"/>
      <c r="M52" s="42"/>
      <c r="N52" s="26" t="str">
        <f>IFERROR(VLOOKUP(D52,ドメインタイプDATA,6,FALSE)&amp;"","")</f>
        <v/>
      </c>
      <c r="O52" s="26" t="str">
        <f>IFERROR(VLOOKUP(D52,ドメインタイプDATA,7,FALSE)&amp;"","")</f>
        <v/>
      </c>
      <c r="P52" s="34">
        <f ca="1">COUNTIF(派生元項目KEY,A52)</f>
        <v>0</v>
      </c>
      <c r="Q52" s="34">
        <f ca="1">COUNTIF(区分値項目KEY,A52)</f>
        <v>0</v>
      </c>
    </row>
    <row r="53" spans="1:17" ht="15" x14ac:dyDescent="0.55000000000000004">
      <c r="A53" s="42"/>
      <c r="B53" s="42"/>
      <c r="C53" s="26" t="str">
        <f t="shared" si="1"/>
        <v/>
      </c>
      <c r="D53" s="42"/>
      <c r="E53" s="42"/>
      <c r="F53" s="42"/>
      <c r="G53" s="42"/>
      <c r="H53" s="42"/>
      <c r="I53" s="44"/>
      <c r="J53" s="42"/>
      <c r="K53" s="44"/>
      <c r="L53" s="46"/>
      <c r="M53" s="42"/>
      <c r="N53" s="26" t="str">
        <f>IFERROR(VLOOKUP(D53,ドメインタイプDATA,6,FALSE)&amp;"","")</f>
        <v/>
      </c>
      <c r="O53" s="26" t="str">
        <f>IFERROR(VLOOKUP(D53,ドメインタイプDATA,7,FALSE)&amp;"","")</f>
        <v/>
      </c>
      <c r="P53" s="34">
        <f ca="1">COUNTIF(派生元項目KEY,A53)</f>
        <v>0</v>
      </c>
      <c r="Q53" s="34">
        <f ca="1">COUNTIF(区分値項目KEY,A53)</f>
        <v>0</v>
      </c>
    </row>
    <row r="54" spans="1:17" ht="15" x14ac:dyDescent="0.55000000000000004">
      <c r="A54" s="43"/>
      <c r="B54" s="43"/>
      <c r="C54" s="27" t="str">
        <f t="shared" si="1"/>
        <v/>
      </c>
      <c r="D54" s="43"/>
      <c r="E54" s="43"/>
      <c r="F54" s="43"/>
      <c r="G54" s="43"/>
      <c r="H54" s="43"/>
      <c r="I54" s="45"/>
      <c r="J54" s="43"/>
      <c r="K54" s="45"/>
      <c r="L54" s="47"/>
      <c r="M54" s="43"/>
      <c r="N54" s="27" t="str">
        <f>IFERROR(VLOOKUP(D54,ドメインタイプDATA,6,FALSE)&amp;"","")</f>
        <v/>
      </c>
      <c r="O54" s="27" t="str">
        <f>IFERROR(VLOOKUP(D54,ドメインタイプDATA,7,FALSE)&amp;"","")</f>
        <v/>
      </c>
      <c r="P54" s="39">
        <f ca="1">COUNTIF(派生元項目KEY,A54)</f>
        <v>0</v>
      </c>
      <c r="Q54" s="39">
        <f ca="1">COUNTIF(区分値項目KEY,A54)</f>
        <v>0</v>
      </c>
    </row>
    <row r="55" spans="1:17" ht="18" x14ac:dyDescent="0.5500000000000000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ht="18" x14ac:dyDescent="0.5500000000000000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ht="18" x14ac:dyDescent="0.5500000000000000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ht="18" x14ac:dyDescent="0.5500000000000000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ht="18" x14ac:dyDescent="0.5500000000000000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ht="18" x14ac:dyDescent="0.5500000000000000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ht="18" x14ac:dyDescent="0.5500000000000000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ht="18" x14ac:dyDescent="0.5500000000000000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ht="18" x14ac:dyDescent="0.5500000000000000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ht="18" x14ac:dyDescent="0.5500000000000000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ht="18" x14ac:dyDescent="0.5500000000000000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ht="18" x14ac:dyDescent="0.5500000000000000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ht="18" x14ac:dyDescent="0.5500000000000000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ht="18" x14ac:dyDescent="0.5500000000000000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ht="18" x14ac:dyDescent="0.5500000000000000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ht="18" x14ac:dyDescent="0.5500000000000000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ht="18" x14ac:dyDescent="0.5500000000000000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ht="18" x14ac:dyDescent="0.5500000000000000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ht="18" x14ac:dyDescent="0.5500000000000000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ht="18" x14ac:dyDescent="0.5500000000000000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ht="18" x14ac:dyDescent="0.5500000000000000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ht="18" x14ac:dyDescent="0.5500000000000000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ht="18" x14ac:dyDescent="0.5500000000000000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ht="18" x14ac:dyDescent="0.5500000000000000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ht="18" x14ac:dyDescent="0.5500000000000000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ht="18" x14ac:dyDescent="0.5500000000000000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ht="18" x14ac:dyDescent="0.5500000000000000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ht="18" x14ac:dyDescent="0.5500000000000000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ht="18" x14ac:dyDescent="0.5500000000000000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ht="18" x14ac:dyDescent="0.5500000000000000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ht="18" x14ac:dyDescent="0.5500000000000000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ht="18" x14ac:dyDescent="0.5500000000000000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ht="18" x14ac:dyDescent="0.5500000000000000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ht="18" x14ac:dyDescent="0.5500000000000000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ht="18" x14ac:dyDescent="0.5500000000000000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ht="18" x14ac:dyDescent="0.5500000000000000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ht="18" x14ac:dyDescent="0.5500000000000000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ht="18" x14ac:dyDescent="0.5500000000000000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ht="18" x14ac:dyDescent="0.5500000000000000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ht="18" x14ac:dyDescent="0.5500000000000000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ht="18" x14ac:dyDescent="0.5500000000000000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ht="18" x14ac:dyDescent="0.5500000000000000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ht="18" x14ac:dyDescent="0.5500000000000000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ht="18" x14ac:dyDescent="0.5500000000000000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ht="18" x14ac:dyDescent="0.5500000000000000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ht="18" x14ac:dyDescent="0.5500000000000000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ht="18" x14ac:dyDescent="0.5500000000000000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ht="18" x14ac:dyDescent="0.5500000000000000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ht="18" x14ac:dyDescent="0.5500000000000000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ht="18" x14ac:dyDescent="0.5500000000000000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ht="18" x14ac:dyDescent="0.5500000000000000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ht="18" x14ac:dyDescent="0.5500000000000000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ht="18" x14ac:dyDescent="0.5500000000000000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ht="18" x14ac:dyDescent="0.5500000000000000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ht="18" x14ac:dyDescent="0.5500000000000000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ht="18" x14ac:dyDescent="0.5500000000000000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ht="18" x14ac:dyDescent="0.5500000000000000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ht="18" x14ac:dyDescent="0.5500000000000000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ht="18" x14ac:dyDescent="0.5500000000000000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ht="18" x14ac:dyDescent="0.5500000000000000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ht="18" x14ac:dyDescent="0.5500000000000000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ht="18" x14ac:dyDescent="0.5500000000000000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ht="18" x14ac:dyDescent="0.5500000000000000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ht="18" x14ac:dyDescent="0.5500000000000000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ht="18" x14ac:dyDescent="0.5500000000000000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ht="18" x14ac:dyDescent="0.5500000000000000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ht="18" x14ac:dyDescent="0.5500000000000000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ht="18" x14ac:dyDescent="0.5500000000000000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ht="18" x14ac:dyDescent="0.5500000000000000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ht="18" x14ac:dyDescent="0.5500000000000000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ht="18" x14ac:dyDescent="0.5500000000000000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ht="18" x14ac:dyDescent="0.5500000000000000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ht="18" x14ac:dyDescent="0.5500000000000000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ht="18" x14ac:dyDescent="0.5500000000000000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ht="18" x14ac:dyDescent="0.5500000000000000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ht="18" x14ac:dyDescent="0.5500000000000000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ht="18" x14ac:dyDescent="0.5500000000000000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ht="18" x14ac:dyDescent="0.5500000000000000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ht="18" x14ac:dyDescent="0.5500000000000000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ht="18" x14ac:dyDescent="0.5500000000000000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ht="18" x14ac:dyDescent="0.5500000000000000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ht="18" x14ac:dyDescent="0.5500000000000000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ht="18" x14ac:dyDescent="0.5500000000000000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ht="18" x14ac:dyDescent="0.5500000000000000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ht="18" x14ac:dyDescent="0.5500000000000000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ht="18" x14ac:dyDescent="0.5500000000000000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ht="18" x14ac:dyDescent="0.5500000000000000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ht="18" x14ac:dyDescent="0.5500000000000000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ht="18" x14ac:dyDescent="0.5500000000000000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ht="18" x14ac:dyDescent="0.5500000000000000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ht="18" x14ac:dyDescent="0.5500000000000000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ht="18" x14ac:dyDescent="0.5500000000000000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ht="18" x14ac:dyDescent="0.5500000000000000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ht="18" x14ac:dyDescent="0.5500000000000000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ht="18" x14ac:dyDescent="0.5500000000000000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ht="18" x14ac:dyDescent="0.5500000000000000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ht="18" x14ac:dyDescent="0.5500000000000000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ht="18" x14ac:dyDescent="0.5500000000000000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ht="18" x14ac:dyDescent="0.5500000000000000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ht="18" x14ac:dyDescent="0.5500000000000000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ht="18" x14ac:dyDescent="0.5500000000000000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ht="18" x14ac:dyDescent="0.5500000000000000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ht="18" x14ac:dyDescent="0.5500000000000000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ht="18" x14ac:dyDescent="0.5500000000000000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ht="18" x14ac:dyDescent="0.5500000000000000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ht="18" x14ac:dyDescent="0.5500000000000000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ht="18" x14ac:dyDescent="0.5500000000000000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ht="18" x14ac:dyDescent="0.5500000000000000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ht="18" x14ac:dyDescent="0.5500000000000000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ht="18" x14ac:dyDescent="0.5500000000000000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ht="18" x14ac:dyDescent="0.5500000000000000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ht="18" x14ac:dyDescent="0.5500000000000000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ht="18" x14ac:dyDescent="0.5500000000000000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ht="18" x14ac:dyDescent="0.5500000000000000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ht="18" x14ac:dyDescent="0.5500000000000000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ht="18" x14ac:dyDescent="0.5500000000000000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ht="18" x14ac:dyDescent="0.5500000000000000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ht="18" x14ac:dyDescent="0.5500000000000000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ht="18" x14ac:dyDescent="0.5500000000000000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ht="18" x14ac:dyDescent="0.5500000000000000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ht="18" x14ac:dyDescent="0.5500000000000000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ht="18" x14ac:dyDescent="0.5500000000000000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ht="18" x14ac:dyDescent="0.5500000000000000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ht="18" x14ac:dyDescent="0.5500000000000000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ht="18" x14ac:dyDescent="0.5500000000000000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ht="18" x14ac:dyDescent="0.5500000000000000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ht="18" x14ac:dyDescent="0.5500000000000000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ht="18" x14ac:dyDescent="0.5500000000000000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ht="18" x14ac:dyDescent="0.5500000000000000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ht="18" x14ac:dyDescent="0.5500000000000000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ht="18" x14ac:dyDescent="0.5500000000000000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ht="18" x14ac:dyDescent="0.5500000000000000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ht="18" x14ac:dyDescent="0.5500000000000000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ht="18" x14ac:dyDescent="0.5500000000000000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ht="18" x14ac:dyDescent="0.5500000000000000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ht="18" x14ac:dyDescent="0.5500000000000000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ht="18" x14ac:dyDescent="0.5500000000000000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ht="18" x14ac:dyDescent="0.5500000000000000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ht="18" x14ac:dyDescent="0.5500000000000000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ht="18" x14ac:dyDescent="0.5500000000000000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ht="18" x14ac:dyDescent="0.5500000000000000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ht="18" x14ac:dyDescent="0.5500000000000000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ht="18" x14ac:dyDescent="0.5500000000000000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ht="18" x14ac:dyDescent="0.5500000000000000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ht="18" x14ac:dyDescent="0.5500000000000000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ht="18" x14ac:dyDescent="0.5500000000000000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ht="18" x14ac:dyDescent="0.5500000000000000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ht="18" x14ac:dyDescent="0.5500000000000000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ht="18" x14ac:dyDescent="0.5500000000000000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ht="18" x14ac:dyDescent="0.5500000000000000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ht="18" x14ac:dyDescent="0.5500000000000000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ht="18" x14ac:dyDescent="0.5500000000000000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ht="18" x14ac:dyDescent="0.5500000000000000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ht="18" x14ac:dyDescent="0.5500000000000000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ht="18" x14ac:dyDescent="0.5500000000000000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ht="18" x14ac:dyDescent="0.5500000000000000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ht="18" x14ac:dyDescent="0.5500000000000000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ht="18" x14ac:dyDescent="0.5500000000000000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ht="18" x14ac:dyDescent="0.5500000000000000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ht="18" x14ac:dyDescent="0.5500000000000000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ht="18" x14ac:dyDescent="0.5500000000000000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ht="18" x14ac:dyDescent="0.5500000000000000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ht="18" x14ac:dyDescent="0.5500000000000000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ht="18" x14ac:dyDescent="0.5500000000000000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ht="18" x14ac:dyDescent="0.5500000000000000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ht="18" x14ac:dyDescent="0.5500000000000000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ht="18" x14ac:dyDescent="0.5500000000000000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ht="18" x14ac:dyDescent="0.5500000000000000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ht="18" x14ac:dyDescent="0.5500000000000000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ht="18" x14ac:dyDescent="0.5500000000000000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ht="18" x14ac:dyDescent="0.5500000000000000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ht="18" x14ac:dyDescent="0.5500000000000000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ht="18" x14ac:dyDescent="0.5500000000000000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ht="18" x14ac:dyDescent="0.5500000000000000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ht="18" x14ac:dyDescent="0.5500000000000000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ht="18" x14ac:dyDescent="0.5500000000000000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ht="18" x14ac:dyDescent="0.5500000000000000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ht="18" x14ac:dyDescent="0.5500000000000000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ht="18" x14ac:dyDescent="0.5500000000000000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ht="18" x14ac:dyDescent="0.5500000000000000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ht="18" x14ac:dyDescent="0.5500000000000000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ht="18" x14ac:dyDescent="0.5500000000000000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ht="18" x14ac:dyDescent="0.5500000000000000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ht="18" x14ac:dyDescent="0.5500000000000000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ht="18" x14ac:dyDescent="0.5500000000000000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ht="18" x14ac:dyDescent="0.5500000000000000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ht="18" x14ac:dyDescent="0.5500000000000000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ht="18" x14ac:dyDescent="0.5500000000000000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ht="18" x14ac:dyDescent="0.5500000000000000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ht="18" x14ac:dyDescent="0.5500000000000000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ht="18" x14ac:dyDescent="0.5500000000000000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ht="18" x14ac:dyDescent="0.5500000000000000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ht="18" x14ac:dyDescent="0.5500000000000000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ht="18" x14ac:dyDescent="0.5500000000000000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ht="18" x14ac:dyDescent="0.5500000000000000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ht="18" x14ac:dyDescent="0.5500000000000000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ht="18" x14ac:dyDescent="0.5500000000000000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ht="18" x14ac:dyDescent="0.5500000000000000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ht="18" x14ac:dyDescent="0.5500000000000000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ht="18" x14ac:dyDescent="0.5500000000000000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ht="18" x14ac:dyDescent="0.5500000000000000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ht="18" x14ac:dyDescent="0.5500000000000000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ht="18" x14ac:dyDescent="0.5500000000000000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ht="18" x14ac:dyDescent="0.5500000000000000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ht="18" x14ac:dyDescent="0.5500000000000000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ht="18" x14ac:dyDescent="0.5500000000000000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ht="18" x14ac:dyDescent="0.5500000000000000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ht="18" x14ac:dyDescent="0.5500000000000000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ht="18" x14ac:dyDescent="0.5500000000000000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ht="18" x14ac:dyDescent="0.5500000000000000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ht="18" x14ac:dyDescent="0.5500000000000000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ht="18" x14ac:dyDescent="0.5500000000000000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ht="18" x14ac:dyDescent="0.5500000000000000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ht="18" x14ac:dyDescent="0.5500000000000000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ht="18" x14ac:dyDescent="0.5500000000000000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ht="18" x14ac:dyDescent="0.5500000000000000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ht="18" x14ac:dyDescent="0.5500000000000000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ht="18" x14ac:dyDescent="0.5500000000000000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ht="18" x14ac:dyDescent="0.5500000000000000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ht="18" x14ac:dyDescent="0.5500000000000000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ht="18" x14ac:dyDescent="0.5500000000000000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ht="18" x14ac:dyDescent="0.5500000000000000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ht="18" x14ac:dyDescent="0.5500000000000000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ht="18" x14ac:dyDescent="0.5500000000000000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ht="18" x14ac:dyDescent="0.5500000000000000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ht="18" x14ac:dyDescent="0.5500000000000000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ht="18" x14ac:dyDescent="0.5500000000000000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ht="18" x14ac:dyDescent="0.5500000000000000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ht="18" x14ac:dyDescent="0.5500000000000000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ht="18" x14ac:dyDescent="0.5500000000000000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ht="18" x14ac:dyDescent="0.5500000000000000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ht="18" x14ac:dyDescent="0.5500000000000000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ht="18" x14ac:dyDescent="0.5500000000000000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ht="18" x14ac:dyDescent="0.5500000000000000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ht="18" x14ac:dyDescent="0.5500000000000000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ht="18" x14ac:dyDescent="0.5500000000000000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ht="18" x14ac:dyDescent="0.5500000000000000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ht="18" x14ac:dyDescent="0.5500000000000000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ht="18" x14ac:dyDescent="0.5500000000000000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ht="18" x14ac:dyDescent="0.5500000000000000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ht="18" x14ac:dyDescent="0.5500000000000000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ht="18" x14ac:dyDescent="0.5500000000000000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ht="18" x14ac:dyDescent="0.5500000000000000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ht="18" x14ac:dyDescent="0.5500000000000000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ht="18" x14ac:dyDescent="0.5500000000000000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ht="18" x14ac:dyDescent="0.5500000000000000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ht="18" x14ac:dyDescent="0.5500000000000000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ht="18" x14ac:dyDescent="0.5500000000000000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ht="18" x14ac:dyDescent="0.5500000000000000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ht="18" x14ac:dyDescent="0.5500000000000000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ht="18" x14ac:dyDescent="0.5500000000000000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ht="18" x14ac:dyDescent="0.5500000000000000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ht="18" x14ac:dyDescent="0.5500000000000000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ht="18" x14ac:dyDescent="0.5500000000000000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ht="18" x14ac:dyDescent="0.5500000000000000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ht="18" x14ac:dyDescent="0.5500000000000000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ht="18" x14ac:dyDescent="0.5500000000000000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ht="18" x14ac:dyDescent="0.5500000000000000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ht="18" x14ac:dyDescent="0.5500000000000000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ht="18" x14ac:dyDescent="0.5500000000000000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ht="18" x14ac:dyDescent="0.5500000000000000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ht="18" x14ac:dyDescent="0.5500000000000000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ht="18" x14ac:dyDescent="0.5500000000000000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ht="18" x14ac:dyDescent="0.5500000000000000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ht="18" x14ac:dyDescent="0.5500000000000000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ht="18" x14ac:dyDescent="0.5500000000000000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ht="18" x14ac:dyDescent="0.5500000000000000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ht="18" x14ac:dyDescent="0.5500000000000000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ht="18" x14ac:dyDescent="0.5500000000000000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ht="18" x14ac:dyDescent="0.5500000000000000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ht="18" x14ac:dyDescent="0.5500000000000000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ht="18" x14ac:dyDescent="0.5500000000000000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ht="18" x14ac:dyDescent="0.5500000000000000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ht="18" x14ac:dyDescent="0.5500000000000000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ht="18" x14ac:dyDescent="0.5500000000000000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ht="18" x14ac:dyDescent="0.5500000000000000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ht="18" x14ac:dyDescent="0.5500000000000000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ht="18" x14ac:dyDescent="0.5500000000000000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ht="18" x14ac:dyDescent="0.5500000000000000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ht="18" x14ac:dyDescent="0.5500000000000000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ht="18" x14ac:dyDescent="0.5500000000000000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ht="18" x14ac:dyDescent="0.5500000000000000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ht="18" x14ac:dyDescent="0.5500000000000000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ht="18" x14ac:dyDescent="0.5500000000000000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ht="18" x14ac:dyDescent="0.5500000000000000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ht="18" x14ac:dyDescent="0.5500000000000000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ht="18" x14ac:dyDescent="0.5500000000000000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ht="18" x14ac:dyDescent="0.5500000000000000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ht="18" x14ac:dyDescent="0.5500000000000000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ht="18" x14ac:dyDescent="0.5500000000000000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ht="18" x14ac:dyDescent="0.5500000000000000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ht="18" x14ac:dyDescent="0.5500000000000000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ht="18" x14ac:dyDescent="0.5500000000000000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ht="18" x14ac:dyDescent="0.5500000000000000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ht="18" x14ac:dyDescent="0.5500000000000000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ht="18" x14ac:dyDescent="0.5500000000000000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ht="18" x14ac:dyDescent="0.5500000000000000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ht="18" x14ac:dyDescent="0.5500000000000000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ht="18" x14ac:dyDescent="0.5500000000000000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ht="18" x14ac:dyDescent="0.5500000000000000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ht="18" x14ac:dyDescent="0.5500000000000000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ht="18" x14ac:dyDescent="0.5500000000000000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ht="18" x14ac:dyDescent="0.5500000000000000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ht="18" x14ac:dyDescent="0.5500000000000000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ht="18" x14ac:dyDescent="0.5500000000000000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ht="18" x14ac:dyDescent="0.5500000000000000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ht="18" x14ac:dyDescent="0.5500000000000000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ht="18" x14ac:dyDescent="0.5500000000000000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ht="18" x14ac:dyDescent="0.5500000000000000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ht="18" x14ac:dyDescent="0.5500000000000000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ht="18" x14ac:dyDescent="0.5500000000000000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ht="18" x14ac:dyDescent="0.5500000000000000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ht="18" x14ac:dyDescent="0.5500000000000000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ht="18" x14ac:dyDescent="0.5500000000000000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ht="18" x14ac:dyDescent="0.55000000000000004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ht="18" x14ac:dyDescent="0.5500000000000000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ht="18" x14ac:dyDescent="0.5500000000000000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ht="18" x14ac:dyDescent="0.5500000000000000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ht="18" x14ac:dyDescent="0.5500000000000000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ht="18" x14ac:dyDescent="0.5500000000000000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ht="18" x14ac:dyDescent="0.5500000000000000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ht="18" x14ac:dyDescent="0.5500000000000000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ht="18" x14ac:dyDescent="0.5500000000000000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ht="18" x14ac:dyDescent="0.5500000000000000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ht="18" x14ac:dyDescent="0.5500000000000000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ht="18" x14ac:dyDescent="0.5500000000000000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ht="18" x14ac:dyDescent="0.5500000000000000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ht="18" x14ac:dyDescent="0.5500000000000000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ht="18" x14ac:dyDescent="0.5500000000000000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ht="18" x14ac:dyDescent="0.5500000000000000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ht="18" x14ac:dyDescent="0.5500000000000000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ht="18" x14ac:dyDescent="0.5500000000000000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ht="18" x14ac:dyDescent="0.5500000000000000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ht="18" x14ac:dyDescent="0.5500000000000000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ht="18" x14ac:dyDescent="0.5500000000000000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ht="18" x14ac:dyDescent="0.5500000000000000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ht="18" x14ac:dyDescent="0.5500000000000000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ht="18" x14ac:dyDescent="0.5500000000000000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ht="18" x14ac:dyDescent="0.5500000000000000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ht="18" x14ac:dyDescent="0.5500000000000000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ht="18" x14ac:dyDescent="0.5500000000000000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ht="18" x14ac:dyDescent="0.5500000000000000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ht="18" x14ac:dyDescent="0.5500000000000000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ht="18" x14ac:dyDescent="0.5500000000000000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ht="18" x14ac:dyDescent="0.5500000000000000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ht="18" x14ac:dyDescent="0.5500000000000000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ht="18" x14ac:dyDescent="0.5500000000000000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ht="18" x14ac:dyDescent="0.5500000000000000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ht="18" x14ac:dyDescent="0.5500000000000000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ht="18" x14ac:dyDescent="0.5500000000000000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ht="18" x14ac:dyDescent="0.5500000000000000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ht="18" x14ac:dyDescent="0.5500000000000000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ht="18" x14ac:dyDescent="0.5500000000000000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ht="18" x14ac:dyDescent="0.5500000000000000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ht="18" x14ac:dyDescent="0.5500000000000000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ht="18" x14ac:dyDescent="0.5500000000000000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ht="18" x14ac:dyDescent="0.5500000000000000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ht="18" x14ac:dyDescent="0.5500000000000000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ht="18" x14ac:dyDescent="0.5500000000000000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ht="18" x14ac:dyDescent="0.5500000000000000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ht="18" x14ac:dyDescent="0.5500000000000000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ht="18" x14ac:dyDescent="0.5500000000000000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ht="18" x14ac:dyDescent="0.5500000000000000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ht="18" x14ac:dyDescent="0.5500000000000000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ht="18" x14ac:dyDescent="0.5500000000000000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ht="18" x14ac:dyDescent="0.5500000000000000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ht="18" x14ac:dyDescent="0.5500000000000000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ht="18" x14ac:dyDescent="0.5500000000000000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ht="18" x14ac:dyDescent="0.5500000000000000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ht="18" x14ac:dyDescent="0.5500000000000000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ht="18" x14ac:dyDescent="0.5500000000000000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ht="18" x14ac:dyDescent="0.5500000000000000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ht="18" x14ac:dyDescent="0.5500000000000000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ht="18" x14ac:dyDescent="0.5500000000000000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ht="18" x14ac:dyDescent="0.5500000000000000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ht="18" x14ac:dyDescent="0.5500000000000000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ht="18" x14ac:dyDescent="0.5500000000000000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ht="18" x14ac:dyDescent="0.5500000000000000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ht="18" x14ac:dyDescent="0.5500000000000000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ht="18" x14ac:dyDescent="0.5500000000000000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ht="18" x14ac:dyDescent="0.5500000000000000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ht="18" x14ac:dyDescent="0.5500000000000000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ht="18" x14ac:dyDescent="0.5500000000000000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ht="18" x14ac:dyDescent="0.5500000000000000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ht="18" x14ac:dyDescent="0.5500000000000000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ht="18" x14ac:dyDescent="0.5500000000000000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ht="18" x14ac:dyDescent="0.5500000000000000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ht="18" x14ac:dyDescent="0.5500000000000000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ht="18" x14ac:dyDescent="0.5500000000000000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ht="18" x14ac:dyDescent="0.5500000000000000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ht="18" x14ac:dyDescent="0.5500000000000000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ht="18" x14ac:dyDescent="0.5500000000000000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ht="18" x14ac:dyDescent="0.5500000000000000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ht="18" x14ac:dyDescent="0.5500000000000000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ht="18" x14ac:dyDescent="0.5500000000000000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ht="18" x14ac:dyDescent="0.5500000000000000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ht="18" x14ac:dyDescent="0.5500000000000000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ht="18" x14ac:dyDescent="0.5500000000000000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ht="18" x14ac:dyDescent="0.5500000000000000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ht="18" x14ac:dyDescent="0.5500000000000000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ht="18" x14ac:dyDescent="0.5500000000000000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ht="18" x14ac:dyDescent="0.5500000000000000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ht="18" x14ac:dyDescent="0.5500000000000000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ht="18" x14ac:dyDescent="0.5500000000000000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ht="18" x14ac:dyDescent="0.5500000000000000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ht="18" x14ac:dyDescent="0.5500000000000000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ht="18" x14ac:dyDescent="0.5500000000000000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ht="18" x14ac:dyDescent="0.5500000000000000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ht="18" x14ac:dyDescent="0.5500000000000000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ht="18" x14ac:dyDescent="0.5500000000000000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ht="18" x14ac:dyDescent="0.5500000000000000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ht="18" x14ac:dyDescent="0.5500000000000000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ht="18" x14ac:dyDescent="0.5500000000000000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ht="18" x14ac:dyDescent="0.5500000000000000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ht="18" x14ac:dyDescent="0.5500000000000000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ht="18" x14ac:dyDescent="0.5500000000000000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ht="18" x14ac:dyDescent="0.5500000000000000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ht="18" x14ac:dyDescent="0.5500000000000000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ht="18" x14ac:dyDescent="0.5500000000000000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ht="18" x14ac:dyDescent="0.5500000000000000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ht="18" x14ac:dyDescent="0.5500000000000000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ht="18" x14ac:dyDescent="0.5500000000000000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ht="18" x14ac:dyDescent="0.5500000000000000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ht="18" x14ac:dyDescent="0.5500000000000000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ht="18" x14ac:dyDescent="0.5500000000000000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ht="18" x14ac:dyDescent="0.5500000000000000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ht="18" x14ac:dyDescent="0.5500000000000000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ht="18" x14ac:dyDescent="0.5500000000000000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ht="18" x14ac:dyDescent="0.5500000000000000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ht="18" x14ac:dyDescent="0.5500000000000000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ht="18" x14ac:dyDescent="0.5500000000000000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ht="18" x14ac:dyDescent="0.5500000000000000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ht="18" x14ac:dyDescent="0.5500000000000000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ht="18" x14ac:dyDescent="0.5500000000000000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ht="18" x14ac:dyDescent="0.5500000000000000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ht="18" x14ac:dyDescent="0.5500000000000000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ht="18" x14ac:dyDescent="0.5500000000000000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ht="18" x14ac:dyDescent="0.5500000000000000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ht="18" x14ac:dyDescent="0.5500000000000000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ht="18" x14ac:dyDescent="0.5500000000000000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ht="18" x14ac:dyDescent="0.5500000000000000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ht="18" x14ac:dyDescent="0.5500000000000000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ht="18" x14ac:dyDescent="0.5500000000000000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ht="18" x14ac:dyDescent="0.5500000000000000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ht="18" x14ac:dyDescent="0.5500000000000000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ht="18" x14ac:dyDescent="0.5500000000000000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ht="18" x14ac:dyDescent="0.5500000000000000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ht="18" x14ac:dyDescent="0.5500000000000000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ht="18" x14ac:dyDescent="0.5500000000000000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ht="18" x14ac:dyDescent="0.5500000000000000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ht="18" x14ac:dyDescent="0.5500000000000000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ht="18" x14ac:dyDescent="0.5500000000000000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ht="18" x14ac:dyDescent="0.5500000000000000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ht="18" x14ac:dyDescent="0.5500000000000000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ht="18" x14ac:dyDescent="0.5500000000000000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ht="18" x14ac:dyDescent="0.5500000000000000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ht="18" x14ac:dyDescent="0.5500000000000000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ht="18" x14ac:dyDescent="0.5500000000000000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ht="18" x14ac:dyDescent="0.5500000000000000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ht="18" x14ac:dyDescent="0.5500000000000000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ht="18" x14ac:dyDescent="0.5500000000000000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ht="18" x14ac:dyDescent="0.5500000000000000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ht="18" x14ac:dyDescent="0.5500000000000000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ht="18" x14ac:dyDescent="0.5500000000000000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ht="18" x14ac:dyDescent="0.5500000000000000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ht="18" x14ac:dyDescent="0.5500000000000000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ht="18" x14ac:dyDescent="0.5500000000000000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ht="18" x14ac:dyDescent="0.5500000000000000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ht="18" x14ac:dyDescent="0.5500000000000000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ht="18" x14ac:dyDescent="0.5500000000000000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ht="18" x14ac:dyDescent="0.5500000000000000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ht="18" x14ac:dyDescent="0.5500000000000000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ht="18" x14ac:dyDescent="0.5500000000000000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ht="18" x14ac:dyDescent="0.5500000000000000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ht="18" x14ac:dyDescent="0.5500000000000000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ht="18" x14ac:dyDescent="0.5500000000000000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ht="18" x14ac:dyDescent="0.5500000000000000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ht="18" x14ac:dyDescent="0.5500000000000000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ht="18" x14ac:dyDescent="0.5500000000000000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ht="18" x14ac:dyDescent="0.5500000000000000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ht="18" x14ac:dyDescent="0.5500000000000000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ht="18" x14ac:dyDescent="0.5500000000000000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ht="18" x14ac:dyDescent="0.5500000000000000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ht="18" x14ac:dyDescent="0.5500000000000000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ht="18" x14ac:dyDescent="0.5500000000000000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ht="18" x14ac:dyDescent="0.5500000000000000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ht="18" x14ac:dyDescent="0.5500000000000000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ht="18" x14ac:dyDescent="0.5500000000000000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ht="18" x14ac:dyDescent="0.5500000000000000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ht="18" x14ac:dyDescent="0.5500000000000000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ht="18" x14ac:dyDescent="0.5500000000000000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ht="18" x14ac:dyDescent="0.5500000000000000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ht="18" x14ac:dyDescent="0.5500000000000000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ht="18" x14ac:dyDescent="0.5500000000000000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ht="18" x14ac:dyDescent="0.5500000000000000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ht="18" x14ac:dyDescent="0.5500000000000000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ht="18" x14ac:dyDescent="0.5500000000000000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ht="18" x14ac:dyDescent="0.5500000000000000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ht="18" x14ac:dyDescent="0.5500000000000000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ht="18" x14ac:dyDescent="0.5500000000000000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ht="18" x14ac:dyDescent="0.5500000000000000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ht="18" x14ac:dyDescent="0.5500000000000000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ht="18" x14ac:dyDescent="0.5500000000000000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ht="18" x14ac:dyDescent="0.5500000000000000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ht="18" x14ac:dyDescent="0.5500000000000000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ht="18" x14ac:dyDescent="0.5500000000000000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ht="18" x14ac:dyDescent="0.5500000000000000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ht="18" x14ac:dyDescent="0.5500000000000000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ht="18" x14ac:dyDescent="0.5500000000000000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ht="18" x14ac:dyDescent="0.5500000000000000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ht="18" x14ac:dyDescent="0.5500000000000000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ht="18" x14ac:dyDescent="0.5500000000000000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ht="18" x14ac:dyDescent="0.5500000000000000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ht="18" x14ac:dyDescent="0.5500000000000000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  <row r="569" spans="1:17" ht="18" x14ac:dyDescent="0.5500000000000000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</row>
    <row r="570" spans="1:17" ht="18" x14ac:dyDescent="0.5500000000000000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</row>
    <row r="571" spans="1:17" ht="18" x14ac:dyDescent="0.5500000000000000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</row>
    <row r="572" spans="1:17" ht="18" x14ac:dyDescent="0.5500000000000000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</row>
    <row r="573" spans="1:17" ht="18" x14ac:dyDescent="0.5500000000000000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</row>
    <row r="574" spans="1:17" ht="18" x14ac:dyDescent="0.5500000000000000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</row>
    <row r="575" spans="1:17" ht="18" x14ac:dyDescent="0.5500000000000000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</row>
    <row r="576" spans="1:17" ht="18" x14ac:dyDescent="0.5500000000000000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</row>
    <row r="577" spans="1:17" ht="18" x14ac:dyDescent="0.5500000000000000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</row>
    <row r="578" spans="1:17" ht="18" x14ac:dyDescent="0.5500000000000000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</row>
    <row r="579" spans="1:17" ht="18" x14ac:dyDescent="0.5500000000000000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</row>
    <row r="580" spans="1:17" ht="18" x14ac:dyDescent="0.5500000000000000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</row>
    <row r="581" spans="1:17" ht="18" x14ac:dyDescent="0.5500000000000000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</row>
    <row r="582" spans="1:17" ht="18" x14ac:dyDescent="0.5500000000000000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</row>
    <row r="583" spans="1:17" ht="18" x14ac:dyDescent="0.5500000000000000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</row>
    <row r="584" spans="1:17" ht="18" x14ac:dyDescent="0.5500000000000000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</row>
    <row r="585" spans="1:17" ht="18" x14ac:dyDescent="0.5500000000000000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</row>
    <row r="586" spans="1:17" ht="18" x14ac:dyDescent="0.5500000000000000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</row>
    <row r="587" spans="1:17" ht="18" x14ac:dyDescent="0.5500000000000000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</row>
    <row r="588" spans="1:17" ht="18" x14ac:dyDescent="0.5500000000000000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</row>
    <row r="589" spans="1:17" ht="18" x14ac:dyDescent="0.5500000000000000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</row>
    <row r="590" spans="1:17" ht="18" x14ac:dyDescent="0.5500000000000000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</row>
    <row r="591" spans="1:17" ht="18" x14ac:dyDescent="0.5500000000000000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</row>
    <row r="592" spans="1:17" ht="18" x14ac:dyDescent="0.5500000000000000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</row>
    <row r="593" spans="1:17" ht="18" x14ac:dyDescent="0.5500000000000000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</row>
    <row r="594" spans="1:17" ht="18" x14ac:dyDescent="0.5500000000000000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</row>
    <row r="595" spans="1:17" ht="18" x14ac:dyDescent="0.5500000000000000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</row>
    <row r="596" spans="1:17" ht="18" x14ac:dyDescent="0.5500000000000000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</row>
    <row r="597" spans="1:17" ht="18" x14ac:dyDescent="0.5500000000000000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</row>
    <row r="598" spans="1:17" ht="18" x14ac:dyDescent="0.5500000000000000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</row>
    <row r="599" spans="1:17" ht="18" x14ac:dyDescent="0.5500000000000000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</row>
    <row r="600" spans="1:17" ht="18" x14ac:dyDescent="0.5500000000000000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</row>
    <row r="601" spans="1:17" ht="18" x14ac:dyDescent="0.5500000000000000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</row>
    <row r="602" spans="1:17" ht="18" x14ac:dyDescent="0.5500000000000000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</row>
    <row r="603" spans="1:17" ht="18" x14ac:dyDescent="0.5500000000000000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</row>
    <row r="604" spans="1:17" ht="18" x14ac:dyDescent="0.5500000000000000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</row>
    <row r="605" spans="1:17" ht="18" x14ac:dyDescent="0.5500000000000000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</row>
    <row r="606" spans="1:17" ht="18" x14ac:dyDescent="0.5500000000000000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</row>
    <row r="607" spans="1:17" ht="18" x14ac:dyDescent="0.5500000000000000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</row>
    <row r="608" spans="1:17" ht="18" x14ac:dyDescent="0.5500000000000000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</row>
    <row r="609" spans="1:17" ht="18" x14ac:dyDescent="0.5500000000000000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</row>
    <row r="610" spans="1:17" ht="18" x14ac:dyDescent="0.5500000000000000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</row>
    <row r="611" spans="1:17" ht="18" x14ac:dyDescent="0.5500000000000000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</row>
    <row r="612" spans="1:17" ht="18" x14ac:dyDescent="0.5500000000000000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</row>
    <row r="613" spans="1:17" ht="18" x14ac:dyDescent="0.5500000000000000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</row>
    <row r="614" spans="1:17" ht="18" x14ac:dyDescent="0.5500000000000000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</row>
    <row r="615" spans="1:17" ht="18" x14ac:dyDescent="0.5500000000000000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</row>
    <row r="616" spans="1:17" ht="18" x14ac:dyDescent="0.5500000000000000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</row>
    <row r="617" spans="1:17" ht="18" x14ac:dyDescent="0.5500000000000000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</row>
    <row r="618" spans="1:17" ht="18" x14ac:dyDescent="0.5500000000000000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</row>
    <row r="619" spans="1:17" ht="18" x14ac:dyDescent="0.5500000000000000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</row>
    <row r="620" spans="1:17" ht="18" x14ac:dyDescent="0.5500000000000000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</row>
    <row r="621" spans="1:17" ht="18" x14ac:dyDescent="0.5500000000000000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</row>
    <row r="622" spans="1:17" ht="18" x14ac:dyDescent="0.5500000000000000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</row>
    <row r="623" spans="1:17" ht="18" x14ac:dyDescent="0.5500000000000000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</row>
    <row r="624" spans="1:17" ht="18" x14ac:dyDescent="0.5500000000000000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</row>
    <row r="625" spans="1:17" ht="18" x14ac:dyDescent="0.5500000000000000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</row>
    <row r="626" spans="1:17" ht="18" x14ac:dyDescent="0.5500000000000000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</row>
    <row r="627" spans="1:17" ht="18" x14ac:dyDescent="0.5500000000000000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</row>
    <row r="628" spans="1:17" ht="18" x14ac:dyDescent="0.5500000000000000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</row>
    <row r="629" spans="1:17" ht="18" x14ac:dyDescent="0.5500000000000000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</row>
    <row r="630" spans="1:17" ht="18" x14ac:dyDescent="0.5500000000000000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</row>
    <row r="631" spans="1:17" ht="18" x14ac:dyDescent="0.5500000000000000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</row>
    <row r="632" spans="1:17" ht="18" x14ac:dyDescent="0.5500000000000000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</row>
    <row r="633" spans="1:17" ht="18" x14ac:dyDescent="0.5500000000000000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</row>
    <row r="634" spans="1:17" ht="18" x14ac:dyDescent="0.5500000000000000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</row>
    <row r="635" spans="1:17" ht="18" x14ac:dyDescent="0.5500000000000000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</row>
    <row r="636" spans="1:17" ht="18" x14ac:dyDescent="0.5500000000000000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</row>
    <row r="637" spans="1:17" ht="18" x14ac:dyDescent="0.5500000000000000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</row>
    <row r="638" spans="1:17" ht="18" x14ac:dyDescent="0.5500000000000000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</row>
    <row r="639" spans="1:17" ht="18" x14ac:dyDescent="0.5500000000000000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</row>
    <row r="640" spans="1:17" ht="18" x14ac:dyDescent="0.5500000000000000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</row>
    <row r="641" spans="1:17" ht="18" x14ac:dyDescent="0.5500000000000000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</row>
    <row r="642" spans="1:17" ht="18" x14ac:dyDescent="0.5500000000000000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</row>
    <row r="643" spans="1:17" ht="18" x14ac:dyDescent="0.5500000000000000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</row>
    <row r="644" spans="1:17" ht="18" x14ac:dyDescent="0.5500000000000000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</row>
    <row r="645" spans="1:17" ht="18" x14ac:dyDescent="0.5500000000000000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</row>
    <row r="646" spans="1:17" ht="18" x14ac:dyDescent="0.5500000000000000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</row>
    <row r="647" spans="1:17" ht="18" x14ac:dyDescent="0.5500000000000000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</row>
    <row r="648" spans="1:17" ht="18" x14ac:dyDescent="0.5500000000000000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</row>
    <row r="649" spans="1:17" ht="18" x14ac:dyDescent="0.5500000000000000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</row>
    <row r="650" spans="1:17" ht="18" x14ac:dyDescent="0.5500000000000000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</row>
    <row r="651" spans="1:17" ht="18" x14ac:dyDescent="0.5500000000000000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</row>
    <row r="652" spans="1:17" ht="18" x14ac:dyDescent="0.5500000000000000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</row>
    <row r="653" spans="1:17" ht="18" x14ac:dyDescent="0.5500000000000000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</row>
    <row r="654" spans="1:17" ht="18" x14ac:dyDescent="0.5500000000000000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</row>
    <row r="655" spans="1:17" ht="18" x14ac:dyDescent="0.5500000000000000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</row>
    <row r="656" spans="1:17" ht="18" x14ac:dyDescent="0.5500000000000000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</row>
    <row r="657" spans="1:17" ht="18" x14ac:dyDescent="0.5500000000000000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</row>
    <row r="658" spans="1:17" ht="18" x14ac:dyDescent="0.5500000000000000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</row>
    <row r="659" spans="1:17" ht="18" x14ac:dyDescent="0.5500000000000000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</row>
    <row r="660" spans="1:17" ht="18" x14ac:dyDescent="0.5500000000000000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</row>
    <row r="661" spans="1:17" ht="18" x14ac:dyDescent="0.5500000000000000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</row>
    <row r="662" spans="1:17" ht="18" x14ac:dyDescent="0.5500000000000000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</row>
    <row r="663" spans="1:17" ht="18" x14ac:dyDescent="0.5500000000000000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</row>
    <row r="664" spans="1:17" ht="18" x14ac:dyDescent="0.5500000000000000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</row>
    <row r="665" spans="1:17" ht="18" x14ac:dyDescent="0.5500000000000000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</row>
    <row r="666" spans="1:17" ht="18" x14ac:dyDescent="0.5500000000000000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</row>
    <row r="667" spans="1:17" ht="18" x14ac:dyDescent="0.5500000000000000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</row>
    <row r="668" spans="1:17" ht="18" x14ac:dyDescent="0.5500000000000000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</row>
    <row r="669" spans="1:17" ht="18" x14ac:dyDescent="0.5500000000000000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</row>
    <row r="670" spans="1:17" ht="18" x14ac:dyDescent="0.5500000000000000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</row>
    <row r="671" spans="1:17" ht="18" x14ac:dyDescent="0.5500000000000000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</row>
    <row r="672" spans="1:17" ht="18" x14ac:dyDescent="0.5500000000000000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</row>
    <row r="673" spans="1:17" ht="18" x14ac:dyDescent="0.5500000000000000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</row>
    <row r="674" spans="1:17" ht="18" x14ac:dyDescent="0.5500000000000000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</row>
    <row r="675" spans="1:17" ht="18" x14ac:dyDescent="0.5500000000000000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</row>
    <row r="676" spans="1:17" ht="18" x14ac:dyDescent="0.5500000000000000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</row>
    <row r="677" spans="1:17" ht="18" x14ac:dyDescent="0.5500000000000000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</row>
    <row r="678" spans="1:17" ht="18" x14ac:dyDescent="0.5500000000000000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</row>
    <row r="679" spans="1:17" ht="18" x14ac:dyDescent="0.5500000000000000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</row>
    <row r="680" spans="1:17" ht="18" x14ac:dyDescent="0.5500000000000000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</row>
    <row r="681" spans="1:17" ht="18" x14ac:dyDescent="0.5500000000000000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</row>
    <row r="682" spans="1:17" ht="18" x14ac:dyDescent="0.5500000000000000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</row>
    <row r="683" spans="1:17" ht="18" x14ac:dyDescent="0.5500000000000000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</row>
    <row r="684" spans="1:17" ht="18" x14ac:dyDescent="0.5500000000000000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</row>
    <row r="685" spans="1:17" ht="18" x14ac:dyDescent="0.5500000000000000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</row>
    <row r="686" spans="1:17" ht="18" x14ac:dyDescent="0.5500000000000000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</row>
    <row r="687" spans="1:17" ht="18" x14ac:dyDescent="0.5500000000000000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</row>
    <row r="688" spans="1:17" ht="18" x14ac:dyDescent="0.5500000000000000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</row>
    <row r="689" spans="1:17" ht="18" x14ac:dyDescent="0.5500000000000000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</row>
    <row r="690" spans="1:17" ht="18" x14ac:dyDescent="0.5500000000000000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</row>
    <row r="691" spans="1:17" ht="18" x14ac:dyDescent="0.5500000000000000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</row>
    <row r="692" spans="1:17" ht="18" x14ac:dyDescent="0.5500000000000000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</row>
    <row r="693" spans="1:17" ht="18" x14ac:dyDescent="0.5500000000000000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</row>
    <row r="694" spans="1:17" ht="18" x14ac:dyDescent="0.5500000000000000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</row>
    <row r="695" spans="1:17" ht="18" x14ac:dyDescent="0.5500000000000000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</row>
    <row r="696" spans="1:17" ht="18" x14ac:dyDescent="0.5500000000000000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</row>
    <row r="697" spans="1:17" ht="18" x14ac:dyDescent="0.5500000000000000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</row>
    <row r="698" spans="1:17" ht="18" x14ac:dyDescent="0.5500000000000000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</row>
    <row r="699" spans="1:17" ht="18" x14ac:dyDescent="0.5500000000000000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</row>
    <row r="700" spans="1:17" ht="18" x14ac:dyDescent="0.5500000000000000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</row>
    <row r="701" spans="1:17" ht="18" x14ac:dyDescent="0.5500000000000000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</row>
    <row r="702" spans="1:17" ht="18" x14ac:dyDescent="0.5500000000000000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</row>
    <row r="703" spans="1:17" ht="18" x14ac:dyDescent="0.5500000000000000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</row>
    <row r="704" spans="1:17" ht="18" x14ac:dyDescent="0.5500000000000000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</row>
    <row r="705" spans="1:17" ht="18" x14ac:dyDescent="0.5500000000000000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</row>
    <row r="706" spans="1:17" ht="18" x14ac:dyDescent="0.5500000000000000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</row>
    <row r="707" spans="1:17" ht="18" x14ac:dyDescent="0.5500000000000000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</row>
    <row r="708" spans="1:17" ht="18" x14ac:dyDescent="0.5500000000000000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</row>
    <row r="709" spans="1:17" ht="18" x14ac:dyDescent="0.5500000000000000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</row>
    <row r="710" spans="1:17" ht="18" x14ac:dyDescent="0.5500000000000000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</row>
    <row r="711" spans="1:17" ht="18" x14ac:dyDescent="0.5500000000000000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</row>
    <row r="712" spans="1:17" ht="18" x14ac:dyDescent="0.5500000000000000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</row>
    <row r="713" spans="1:17" ht="18" x14ac:dyDescent="0.5500000000000000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</row>
    <row r="714" spans="1:17" ht="18" x14ac:dyDescent="0.5500000000000000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</row>
    <row r="715" spans="1:17" ht="18" x14ac:dyDescent="0.5500000000000000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</row>
    <row r="716" spans="1:17" ht="18" x14ac:dyDescent="0.5500000000000000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</row>
    <row r="717" spans="1:17" ht="18" x14ac:dyDescent="0.5500000000000000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</row>
    <row r="718" spans="1:17" ht="18" x14ac:dyDescent="0.5500000000000000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</row>
    <row r="719" spans="1:17" ht="18" x14ac:dyDescent="0.5500000000000000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</row>
    <row r="720" spans="1:17" ht="18" x14ac:dyDescent="0.5500000000000000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</row>
    <row r="721" spans="1:17" ht="18" x14ac:dyDescent="0.5500000000000000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</row>
    <row r="722" spans="1:17" ht="18" x14ac:dyDescent="0.5500000000000000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</row>
    <row r="723" spans="1:17" ht="18" x14ac:dyDescent="0.5500000000000000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</row>
    <row r="724" spans="1:17" ht="18" x14ac:dyDescent="0.5500000000000000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</row>
    <row r="725" spans="1:17" ht="18" x14ac:dyDescent="0.5500000000000000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</row>
    <row r="726" spans="1:17" ht="18" x14ac:dyDescent="0.5500000000000000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</row>
    <row r="727" spans="1:17" ht="18" x14ac:dyDescent="0.5500000000000000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</row>
    <row r="728" spans="1:17" ht="18" x14ac:dyDescent="0.5500000000000000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</row>
    <row r="729" spans="1:17" ht="18" x14ac:dyDescent="0.5500000000000000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</row>
    <row r="730" spans="1:17" ht="18" x14ac:dyDescent="0.5500000000000000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</row>
    <row r="731" spans="1:17" ht="18" x14ac:dyDescent="0.5500000000000000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</row>
    <row r="732" spans="1:17" ht="18" x14ac:dyDescent="0.5500000000000000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</row>
    <row r="733" spans="1:17" ht="18" x14ac:dyDescent="0.5500000000000000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</row>
    <row r="734" spans="1:17" ht="18" x14ac:dyDescent="0.5500000000000000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</row>
    <row r="735" spans="1:17" ht="18" x14ac:dyDescent="0.5500000000000000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</row>
    <row r="736" spans="1:17" ht="18" x14ac:dyDescent="0.5500000000000000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</row>
    <row r="737" spans="1:17" ht="18" x14ac:dyDescent="0.5500000000000000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</row>
    <row r="738" spans="1:17" ht="18" x14ac:dyDescent="0.5500000000000000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</row>
    <row r="739" spans="1:17" ht="18" x14ac:dyDescent="0.5500000000000000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</row>
    <row r="740" spans="1:17" ht="18" x14ac:dyDescent="0.5500000000000000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</row>
    <row r="741" spans="1:17" ht="18" x14ac:dyDescent="0.5500000000000000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</row>
    <row r="742" spans="1:17" ht="18" x14ac:dyDescent="0.5500000000000000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</row>
    <row r="743" spans="1:17" ht="18" x14ac:dyDescent="0.5500000000000000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</row>
    <row r="744" spans="1:17" ht="18" x14ac:dyDescent="0.5500000000000000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</row>
    <row r="745" spans="1:17" ht="18" x14ac:dyDescent="0.5500000000000000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</row>
    <row r="746" spans="1:17" ht="18" x14ac:dyDescent="0.5500000000000000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</row>
    <row r="747" spans="1:17" ht="18" x14ac:dyDescent="0.5500000000000000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</row>
    <row r="748" spans="1:17" ht="18" x14ac:dyDescent="0.5500000000000000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</row>
    <row r="749" spans="1:17" ht="18" x14ac:dyDescent="0.5500000000000000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</row>
    <row r="750" spans="1:17" ht="18" x14ac:dyDescent="0.5500000000000000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</row>
    <row r="751" spans="1:17" ht="18" x14ac:dyDescent="0.5500000000000000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</row>
    <row r="752" spans="1:17" ht="18" x14ac:dyDescent="0.5500000000000000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</row>
    <row r="753" spans="1:17" ht="18" x14ac:dyDescent="0.5500000000000000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</row>
    <row r="754" spans="1:17" ht="18" x14ac:dyDescent="0.5500000000000000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</row>
    <row r="755" spans="1:17" ht="18" x14ac:dyDescent="0.5500000000000000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</row>
    <row r="756" spans="1:17" ht="18" x14ac:dyDescent="0.5500000000000000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</row>
    <row r="757" spans="1:17" ht="18" x14ac:dyDescent="0.5500000000000000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</row>
    <row r="758" spans="1:17" ht="18" x14ac:dyDescent="0.5500000000000000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</row>
    <row r="759" spans="1:17" ht="18" x14ac:dyDescent="0.5500000000000000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</row>
    <row r="760" spans="1:17" ht="18" x14ac:dyDescent="0.5500000000000000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</row>
    <row r="761" spans="1:17" ht="18" x14ac:dyDescent="0.5500000000000000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</row>
    <row r="762" spans="1:17" ht="18" x14ac:dyDescent="0.5500000000000000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</row>
    <row r="763" spans="1:17" ht="18" x14ac:dyDescent="0.5500000000000000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</row>
    <row r="764" spans="1:17" ht="18" x14ac:dyDescent="0.5500000000000000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</row>
    <row r="765" spans="1:17" ht="18" x14ac:dyDescent="0.5500000000000000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</row>
    <row r="766" spans="1:17" ht="18" x14ac:dyDescent="0.5500000000000000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</row>
    <row r="767" spans="1:17" ht="18" x14ac:dyDescent="0.5500000000000000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</row>
    <row r="768" spans="1:17" ht="18" x14ac:dyDescent="0.5500000000000000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</row>
    <row r="769" spans="1:17" ht="18" x14ac:dyDescent="0.5500000000000000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</row>
    <row r="770" spans="1:17" ht="18" x14ac:dyDescent="0.5500000000000000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</row>
    <row r="771" spans="1:17" ht="18" x14ac:dyDescent="0.5500000000000000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</row>
    <row r="772" spans="1:17" ht="18" x14ac:dyDescent="0.5500000000000000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</row>
    <row r="773" spans="1:17" ht="18" x14ac:dyDescent="0.5500000000000000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</row>
    <row r="774" spans="1:17" ht="18" x14ac:dyDescent="0.5500000000000000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</row>
    <row r="775" spans="1:17" ht="18" x14ac:dyDescent="0.5500000000000000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</row>
    <row r="776" spans="1:17" ht="18" x14ac:dyDescent="0.5500000000000000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</row>
    <row r="777" spans="1:17" ht="18" x14ac:dyDescent="0.5500000000000000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</row>
    <row r="778" spans="1:17" ht="18" x14ac:dyDescent="0.5500000000000000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</row>
    <row r="779" spans="1:17" ht="18" x14ac:dyDescent="0.5500000000000000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</row>
    <row r="780" spans="1:17" ht="18" x14ac:dyDescent="0.5500000000000000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</row>
    <row r="781" spans="1:17" ht="18" x14ac:dyDescent="0.5500000000000000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</row>
    <row r="782" spans="1:17" ht="18" x14ac:dyDescent="0.5500000000000000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</row>
    <row r="783" spans="1:17" ht="18" x14ac:dyDescent="0.5500000000000000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</row>
    <row r="784" spans="1:17" ht="18" x14ac:dyDescent="0.5500000000000000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</row>
    <row r="785" spans="1:17" ht="18" x14ac:dyDescent="0.5500000000000000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</row>
    <row r="786" spans="1:17" ht="18" x14ac:dyDescent="0.5500000000000000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</row>
    <row r="787" spans="1:17" ht="18" x14ac:dyDescent="0.5500000000000000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</row>
    <row r="788" spans="1:17" ht="18" x14ac:dyDescent="0.5500000000000000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</row>
    <row r="789" spans="1:17" ht="18" x14ac:dyDescent="0.5500000000000000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</row>
    <row r="790" spans="1:17" ht="18" x14ac:dyDescent="0.5500000000000000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</row>
    <row r="791" spans="1:17" ht="18" x14ac:dyDescent="0.5500000000000000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</row>
    <row r="792" spans="1:17" ht="18" x14ac:dyDescent="0.5500000000000000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</row>
    <row r="793" spans="1:17" ht="18" x14ac:dyDescent="0.5500000000000000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</row>
    <row r="794" spans="1:17" ht="18" x14ac:dyDescent="0.5500000000000000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</row>
    <row r="795" spans="1:17" ht="18" x14ac:dyDescent="0.5500000000000000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</row>
    <row r="796" spans="1:17" ht="18" x14ac:dyDescent="0.5500000000000000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</row>
    <row r="797" spans="1:17" ht="18" x14ac:dyDescent="0.5500000000000000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</row>
    <row r="798" spans="1:17" ht="18" x14ac:dyDescent="0.5500000000000000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</row>
    <row r="799" spans="1:17" ht="18" x14ac:dyDescent="0.5500000000000000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</row>
    <row r="800" spans="1:17" ht="18" x14ac:dyDescent="0.5500000000000000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</row>
    <row r="801" spans="1:17" ht="18" x14ac:dyDescent="0.5500000000000000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</row>
    <row r="802" spans="1:17" ht="18" x14ac:dyDescent="0.5500000000000000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</row>
    <row r="803" spans="1:17" ht="18" x14ac:dyDescent="0.5500000000000000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</row>
    <row r="804" spans="1:17" ht="18" x14ac:dyDescent="0.5500000000000000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</row>
    <row r="805" spans="1:17" ht="18" x14ac:dyDescent="0.5500000000000000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</row>
    <row r="806" spans="1:17" ht="18" x14ac:dyDescent="0.5500000000000000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</row>
    <row r="807" spans="1:17" ht="18" x14ac:dyDescent="0.5500000000000000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</row>
    <row r="808" spans="1:17" ht="18" x14ac:dyDescent="0.5500000000000000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</row>
    <row r="809" spans="1:17" ht="18" x14ac:dyDescent="0.5500000000000000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</row>
    <row r="810" spans="1:17" ht="18" x14ac:dyDescent="0.5500000000000000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</row>
    <row r="811" spans="1:17" ht="18" x14ac:dyDescent="0.5500000000000000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</row>
    <row r="812" spans="1:17" ht="18" x14ac:dyDescent="0.5500000000000000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</row>
    <row r="813" spans="1:17" ht="18" x14ac:dyDescent="0.5500000000000000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</row>
    <row r="814" spans="1:17" ht="18" x14ac:dyDescent="0.5500000000000000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</row>
    <row r="815" spans="1:17" ht="18" x14ac:dyDescent="0.5500000000000000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</row>
    <row r="816" spans="1:17" ht="18" x14ac:dyDescent="0.5500000000000000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</row>
    <row r="817" spans="1:17" ht="18" x14ac:dyDescent="0.5500000000000000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</row>
    <row r="818" spans="1:17" ht="18" x14ac:dyDescent="0.5500000000000000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</row>
    <row r="819" spans="1:17" ht="18" x14ac:dyDescent="0.5500000000000000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</row>
    <row r="820" spans="1:17" ht="18" x14ac:dyDescent="0.5500000000000000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</row>
    <row r="821" spans="1:17" ht="18" x14ac:dyDescent="0.5500000000000000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</row>
    <row r="822" spans="1:17" ht="18" x14ac:dyDescent="0.5500000000000000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</row>
    <row r="823" spans="1:17" ht="18" x14ac:dyDescent="0.5500000000000000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</row>
    <row r="824" spans="1:17" ht="18" x14ac:dyDescent="0.5500000000000000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</row>
    <row r="825" spans="1:17" ht="18" x14ac:dyDescent="0.5500000000000000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</row>
    <row r="826" spans="1:17" ht="18" x14ac:dyDescent="0.5500000000000000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</row>
    <row r="827" spans="1:17" ht="18" x14ac:dyDescent="0.5500000000000000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</row>
    <row r="828" spans="1:17" ht="18" x14ac:dyDescent="0.5500000000000000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</row>
    <row r="829" spans="1:17" ht="18" x14ac:dyDescent="0.5500000000000000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</row>
    <row r="830" spans="1:17" ht="18" x14ac:dyDescent="0.5500000000000000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</row>
    <row r="831" spans="1:17" ht="18" x14ac:dyDescent="0.5500000000000000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</row>
    <row r="832" spans="1:17" ht="18" x14ac:dyDescent="0.5500000000000000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</row>
    <row r="833" spans="1:17" ht="18" x14ac:dyDescent="0.5500000000000000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</row>
    <row r="834" spans="1:17" ht="18" x14ac:dyDescent="0.5500000000000000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</row>
    <row r="835" spans="1:17" ht="18" x14ac:dyDescent="0.5500000000000000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</row>
    <row r="836" spans="1:17" ht="18" x14ac:dyDescent="0.5500000000000000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</row>
    <row r="837" spans="1:17" ht="18" x14ac:dyDescent="0.5500000000000000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</row>
    <row r="838" spans="1:17" ht="18" x14ac:dyDescent="0.5500000000000000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</row>
    <row r="839" spans="1:17" ht="18" x14ac:dyDescent="0.5500000000000000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</row>
    <row r="840" spans="1:17" ht="18" x14ac:dyDescent="0.5500000000000000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</row>
    <row r="841" spans="1:17" ht="18" x14ac:dyDescent="0.5500000000000000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</row>
    <row r="842" spans="1:17" ht="18" x14ac:dyDescent="0.5500000000000000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</row>
    <row r="843" spans="1:17" ht="18" x14ac:dyDescent="0.5500000000000000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</row>
    <row r="844" spans="1:17" ht="18" x14ac:dyDescent="0.5500000000000000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</row>
    <row r="845" spans="1:17" ht="18" x14ac:dyDescent="0.5500000000000000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</row>
    <row r="846" spans="1:17" ht="18" x14ac:dyDescent="0.5500000000000000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</row>
    <row r="847" spans="1:17" ht="18" x14ac:dyDescent="0.5500000000000000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</row>
    <row r="848" spans="1:17" ht="18" x14ac:dyDescent="0.5500000000000000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</row>
    <row r="849" spans="1:17" ht="18" x14ac:dyDescent="0.5500000000000000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</row>
    <row r="850" spans="1:17" ht="18" x14ac:dyDescent="0.5500000000000000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</row>
    <row r="851" spans="1:17" ht="18" x14ac:dyDescent="0.5500000000000000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</row>
    <row r="852" spans="1:17" ht="18" x14ac:dyDescent="0.5500000000000000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</row>
    <row r="853" spans="1:17" ht="18" x14ac:dyDescent="0.5500000000000000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</row>
    <row r="854" spans="1:17" ht="18" x14ac:dyDescent="0.5500000000000000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</row>
    <row r="855" spans="1:17" ht="18" x14ac:dyDescent="0.5500000000000000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</row>
    <row r="856" spans="1:17" ht="18" x14ac:dyDescent="0.5500000000000000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</row>
    <row r="857" spans="1:17" ht="18" x14ac:dyDescent="0.5500000000000000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</row>
    <row r="858" spans="1:17" ht="18" x14ac:dyDescent="0.5500000000000000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</row>
    <row r="859" spans="1:17" ht="18" x14ac:dyDescent="0.5500000000000000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</row>
    <row r="860" spans="1:17" ht="18" x14ac:dyDescent="0.5500000000000000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</row>
    <row r="861" spans="1:17" ht="18" x14ac:dyDescent="0.5500000000000000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</row>
    <row r="862" spans="1:17" ht="18" x14ac:dyDescent="0.5500000000000000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</row>
    <row r="863" spans="1:17" ht="18" x14ac:dyDescent="0.5500000000000000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</row>
    <row r="864" spans="1:17" ht="18" x14ac:dyDescent="0.5500000000000000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</row>
    <row r="865" spans="1:17" ht="18" x14ac:dyDescent="0.5500000000000000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</row>
    <row r="866" spans="1:17" ht="18" x14ac:dyDescent="0.5500000000000000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</row>
    <row r="867" spans="1:17" ht="18" x14ac:dyDescent="0.5500000000000000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</row>
    <row r="868" spans="1:17" ht="18" x14ac:dyDescent="0.5500000000000000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</row>
    <row r="869" spans="1:17" ht="18" x14ac:dyDescent="0.5500000000000000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</row>
    <row r="870" spans="1:17" ht="18" x14ac:dyDescent="0.5500000000000000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</row>
    <row r="871" spans="1:17" ht="18" x14ac:dyDescent="0.5500000000000000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</row>
    <row r="872" spans="1:17" ht="18" x14ac:dyDescent="0.5500000000000000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</row>
    <row r="873" spans="1:17" ht="18" x14ac:dyDescent="0.5500000000000000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</row>
    <row r="874" spans="1:17" ht="18" x14ac:dyDescent="0.5500000000000000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</row>
    <row r="875" spans="1:17" ht="18" x14ac:dyDescent="0.5500000000000000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</row>
    <row r="876" spans="1:17" ht="18" x14ac:dyDescent="0.5500000000000000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</row>
    <row r="877" spans="1:17" ht="18" x14ac:dyDescent="0.5500000000000000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</row>
    <row r="878" spans="1:17" ht="18" x14ac:dyDescent="0.5500000000000000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</row>
    <row r="879" spans="1:17" ht="18" x14ac:dyDescent="0.5500000000000000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</row>
    <row r="880" spans="1:17" ht="18" x14ac:dyDescent="0.5500000000000000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</row>
    <row r="881" spans="1:17" ht="18" x14ac:dyDescent="0.5500000000000000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</row>
    <row r="882" spans="1:17" ht="18" x14ac:dyDescent="0.5500000000000000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</row>
    <row r="883" spans="1:17" ht="18" x14ac:dyDescent="0.5500000000000000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</row>
    <row r="884" spans="1:17" ht="18" x14ac:dyDescent="0.5500000000000000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</row>
    <row r="885" spans="1:17" ht="18" x14ac:dyDescent="0.5500000000000000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</row>
    <row r="886" spans="1:17" ht="18" x14ac:dyDescent="0.5500000000000000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</row>
    <row r="887" spans="1:17" ht="18" x14ac:dyDescent="0.5500000000000000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</row>
    <row r="888" spans="1:17" ht="18" x14ac:dyDescent="0.5500000000000000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</row>
    <row r="889" spans="1:17" ht="18" x14ac:dyDescent="0.5500000000000000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</row>
    <row r="890" spans="1:17" ht="18" x14ac:dyDescent="0.5500000000000000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</row>
    <row r="891" spans="1:17" ht="18" x14ac:dyDescent="0.5500000000000000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</row>
    <row r="892" spans="1:17" ht="18" x14ac:dyDescent="0.5500000000000000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</row>
    <row r="893" spans="1:17" ht="18" x14ac:dyDescent="0.5500000000000000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</row>
    <row r="894" spans="1:17" ht="18" x14ac:dyDescent="0.5500000000000000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</row>
    <row r="895" spans="1:17" ht="18" x14ac:dyDescent="0.5500000000000000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</row>
    <row r="896" spans="1:17" ht="18" x14ac:dyDescent="0.5500000000000000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</row>
    <row r="897" spans="1:17" ht="18" x14ac:dyDescent="0.5500000000000000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</row>
    <row r="898" spans="1:17" ht="18" x14ac:dyDescent="0.5500000000000000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</row>
    <row r="899" spans="1:17" ht="18" x14ac:dyDescent="0.5500000000000000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</row>
    <row r="900" spans="1:17" ht="18" x14ac:dyDescent="0.5500000000000000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</row>
    <row r="901" spans="1:17" ht="18" x14ac:dyDescent="0.5500000000000000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</row>
    <row r="902" spans="1:17" ht="18" x14ac:dyDescent="0.5500000000000000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</row>
    <row r="903" spans="1:17" ht="18" x14ac:dyDescent="0.5500000000000000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</row>
    <row r="904" spans="1:17" ht="18" x14ac:dyDescent="0.5500000000000000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</row>
    <row r="905" spans="1:17" ht="18" x14ac:dyDescent="0.5500000000000000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</row>
    <row r="906" spans="1:17" ht="18" x14ac:dyDescent="0.5500000000000000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</row>
    <row r="907" spans="1:17" ht="18" x14ac:dyDescent="0.5500000000000000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</row>
    <row r="908" spans="1:17" ht="18" x14ac:dyDescent="0.5500000000000000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</row>
    <row r="909" spans="1:17" ht="18" x14ac:dyDescent="0.5500000000000000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</row>
    <row r="910" spans="1:17" ht="18" x14ac:dyDescent="0.5500000000000000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</row>
    <row r="911" spans="1:17" ht="18" x14ac:dyDescent="0.5500000000000000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</row>
    <row r="912" spans="1:17" ht="18" x14ac:dyDescent="0.5500000000000000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</row>
    <row r="913" spans="1:17" ht="18" x14ac:dyDescent="0.5500000000000000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</row>
    <row r="914" spans="1:17" ht="18" x14ac:dyDescent="0.5500000000000000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</row>
    <row r="915" spans="1:17" ht="18" x14ac:dyDescent="0.5500000000000000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</row>
    <row r="916" spans="1:17" ht="18" x14ac:dyDescent="0.5500000000000000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</row>
    <row r="917" spans="1:17" ht="18" x14ac:dyDescent="0.5500000000000000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</row>
    <row r="918" spans="1:17" ht="18" x14ac:dyDescent="0.5500000000000000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</row>
    <row r="919" spans="1:17" ht="18" x14ac:dyDescent="0.5500000000000000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</row>
    <row r="920" spans="1:17" ht="18" x14ac:dyDescent="0.5500000000000000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</row>
    <row r="921" spans="1:17" ht="18" x14ac:dyDescent="0.5500000000000000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</row>
    <row r="922" spans="1:17" ht="18" x14ac:dyDescent="0.5500000000000000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</row>
    <row r="923" spans="1:17" ht="18" x14ac:dyDescent="0.5500000000000000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</row>
    <row r="924" spans="1:17" ht="18" x14ac:dyDescent="0.5500000000000000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</row>
    <row r="925" spans="1:17" ht="18" x14ac:dyDescent="0.5500000000000000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</row>
    <row r="926" spans="1:17" ht="18" x14ac:dyDescent="0.5500000000000000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</row>
    <row r="927" spans="1:17" ht="18" x14ac:dyDescent="0.5500000000000000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</row>
    <row r="928" spans="1:17" ht="18" x14ac:dyDescent="0.5500000000000000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</row>
    <row r="929" spans="1:17" ht="18" x14ac:dyDescent="0.5500000000000000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</row>
    <row r="930" spans="1:17" ht="18" x14ac:dyDescent="0.5500000000000000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</row>
    <row r="931" spans="1:17" ht="18" x14ac:dyDescent="0.5500000000000000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</row>
    <row r="932" spans="1:17" ht="18" x14ac:dyDescent="0.5500000000000000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</row>
    <row r="933" spans="1:17" ht="18" x14ac:dyDescent="0.5500000000000000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</row>
    <row r="934" spans="1:17" ht="18" x14ac:dyDescent="0.5500000000000000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</row>
    <row r="935" spans="1:17" ht="18" x14ac:dyDescent="0.5500000000000000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</row>
    <row r="936" spans="1:17" ht="18" x14ac:dyDescent="0.5500000000000000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</row>
    <row r="937" spans="1:17" ht="18" x14ac:dyDescent="0.5500000000000000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</row>
    <row r="938" spans="1:17" ht="18" x14ac:dyDescent="0.5500000000000000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</row>
    <row r="939" spans="1:17" ht="18" x14ac:dyDescent="0.5500000000000000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</row>
    <row r="940" spans="1:17" ht="18" x14ac:dyDescent="0.5500000000000000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</row>
    <row r="941" spans="1:17" ht="18" x14ac:dyDescent="0.5500000000000000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</row>
    <row r="942" spans="1:17" ht="18" x14ac:dyDescent="0.5500000000000000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</row>
    <row r="943" spans="1:17" ht="18" x14ac:dyDescent="0.5500000000000000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</row>
    <row r="944" spans="1:17" ht="18" x14ac:dyDescent="0.5500000000000000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</row>
    <row r="945" spans="1:17" ht="18" x14ac:dyDescent="0.5500000000000000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</row>
    <row r="946" spans="1:17" ht="18" x14ac:dyDescent="0.5500000000000000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</row>
    <row r="947" spans="1:17" ht="18" x14ac:dyDescent="0.5500000000000000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</row>
    <row r="948" spans="1:17" ht="18" x14ac:dyDescent="0.5500000000000000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</row>
    <row r="949" spans="1:17" ht="18" x14ac:dyDescent="0.5500000000000000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</row>
    <row r="950" spans="1:17" ht="18" x14ac:dyDescent="0.5500000000000000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</row>
    <row r="951" spans="1:17" ht="18" x14ac:dyDescent="0.5500000000000000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</row>
    <row r="952" spans="1:17" ht="18" x14ac:dyDescent="0.5500000000000000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</row>
    <row r="953" spans="1:17" ht="18" x14ac:dyDescent="0.5500000000000000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</row>
    <row r="954" spans="1:17" ht="18" x14ac:dyDescent="0.5500000000000000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</row>
    <row r="955" spans="1:17" ht="18" x14ac:dyDescent="0.5500000000000000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</row>
    <row r="956" spans="1:17" ht="18" x14ac:dyDescent="0.5500000000000000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</row>
    <row r="957" spans="1:17" ht="18" x14ac:dyDescent="0.5500000000000000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</row>
    <row r="958" spans="1:17" ht="18" x14ac:dyDescent="0.5500000000000000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</row>
    <row r="959" spans="1:17" ht="18" x14ac:dyDescent="0.5500000000000000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</row>
    <row r="960" spans="1:17" ht="18" x14ac:dyDescent="0.5500000000000000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</row>
    <row r="961" spans="1:17" ht="18" x14ac:dyDescent="0.5500000000000000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</row>
    <row r="962" spans="1:17" ht="18" x14ac:dyDescent="0.5500000000000000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</row>
    <row r="963" spans="1:17" ht="18" x14ac:dyDescent="0.5500000000000000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</row>
    <row r="964" spans="1:17" ht="18" x14ac:dyDescent="0.5500000000000000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</row>
    <row r="965" spans="1:17" ht="18" x14ac:dyDescent="0.5500000000000000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</row>
    <row r="966" spans="1:17" ht="18" x14ac:dyDescent="0.5500000000000000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</row>
    <row r="967" spans="1:17" ht="18" x14ac:dyDescent="0.5500000000000000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</row>
    <row r="968" spans="1:17" ht="18" x14ac:dyDescent="0.5500000000000000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</row>
    <row r="969" spans="1:17" ht="18" x14ac:dyDescent="0.5500000000000000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</row>
    <row r="970" spans="1:17" ht="18" x14ac:dyDescent="0.5500000000000000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</row>
    <row r="971" spans="1:17" ht="18" x14ac:dyDescent="0.5500000000000000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</row>
    <row r="972" spans="1:17" ht="18" x14ac:dyDescent="0.5500000000000000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</row>
    <row r="973" spans="1:17" ht="18" x14ac:dyDescent="0.5500000000000000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</row>
    <row r="974" spans="1:17" ht="18" x14ac:dyDescent="0.5500000000000000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</row>
    <row r="975" spans="1:17" ht="18" x14ac:dyDescent="0.5500000000000000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</row>
    <row r="976" spans="1:17" ht="18" x14ac:dyDescent="0.5500000000000000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</row>
    <row r="977" spans="1:17" ht="18" x14ac:dyDescent="0.5500000000000000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</row>
    <row r="978" spans="1:17" ht="18" x14ac:dyDescent="0.5500000000000000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</row>
    <row r="979" spans="1:17" ht="18" x14ac:dyDescent="0.5500000000000000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</row>
    <row r="980" spans="1:17" ht="18" x14ac:dyDescent="0.5500000000000000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</row>
    <row r="981" spans="1:17" ht="18" x14ac:dyDescent="0.5500000000000000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</row>
    <row r="982" spans="1:17" ht="18" x14ac:dyDescent="0.5500000000000000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</row>
    <row r="983" spans="1:17" ht="18" x14ac:dyDescent="0.5500000000000000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</row>
    <row r="984" spans="1:17" ht="18" x14ac:dyDescent="0.5500000000000000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</row>
    <row r="985" spans="1:17" ht="18" x14ac:dyDescent="0.5500000000000000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</row>
    <row r="986" spans="1:17" ht="18" x14ac:dyDescent="0.5500000000000000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</row>
    <row r="987" spans="1:17" ht="18" x14ac:dyDescent="0.5500000000000000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</row>
    <row r="988" spans="1:17" ht="18" x14ac:dyDescent="0.5500000000000000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</row>
    <row r="989" spans="1:17" ht="18" x14ac:dyDescent="0.5500000000000000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</row>
    <row r="990" spans="1:17" ht="18" x14ac:dyDescent="0.5500000000000000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</row>
    <row r="991" spans="1:17" ht="18" x14ac:dyDescent="0.5500000000000000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</row>
    <row r="992" spans="1:17" ht="18" x14ac:dyDescent="0.5500000000000000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</row>
    <row r="993" spans="1:17" ht="18" x14ac:dyDescent="0.5500000000000000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</row>
    <row r="994" spans="1:17" ht="18" x14ac:dyDescent="0.5500000000000000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</row>
    <row r="995" spans="1:17" ht="18" x14ac:dyDescent="0.5500000000000000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</row>
    <row r="996" spans="1:17" ht="18" x14ac:dyDescent="0.5500000000000000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</row>
    <row r="997" spans="1:17" ht="18" x14ac:dyDescent="0.5500000000000000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</row>
    <row r="998" spans="1:17" ht="18" x14ac:dyDescent="0.5500000000000000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</row>
    <row r="999" spans="1:17" ht="18" x14ac:dyDescent="0.5500000000000000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</row>
    <row r="1000" spans="1:17" ht="18" x14ac:dyDescent="0.5500000000000000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</row>
    <row r="1001" spans="1:17" ht="18" x14ac:dyDescent="0.55000000000000004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</row>
    <row r="1002" spans="1:17" ht="18" x14ac:dyDescent="0.55000000000000004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</row>
    <row r="1003" spans="1:17" ht="18" x14ac:dyDescent="0.55000000000000004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</row>
    <row r="1004" spans="1:17" ht="18" x14ac:dyDescent="0.55000000000000004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</row>
    <row r="1005" spans="1:17" ht="18" x14ac:dyDescent="0.55000000000000004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</row>
    <row r="1006" spans="1:17" ht="18" x14ac:dyDescent="0.55000000000000004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</row>
    <row r="1007" spans="1:17" ht="18" x14ac:dyDescent="0.55000000000000004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</row>
    <row r="1008" spans="1:17" ht="18" x14ac:dyDescent="0.55000000000000004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</row>
    <row r="1009" spans="1:17" ht="18" x14ac:dyDescent="0.55000000000000004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</row>
    <row r="1010" spans="1:17" ht="18" x14ac:dyDescent="0.55000000000000004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</row>
    <row r="1011" spans="1:17" ht="18" x14ac:dyDescent="0.55000000000000004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</row>
    <row r="1012" spans="1:17" ht="18" x14ac:dyDescent="0.55000000000000004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</row>
    <row r="1013" spans="1:17" ht="18" x14ac:dyDescent="0.55000000000000004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</row>
    <row r="1014" spans="1:17" ht="18" x14ac:dyDescent="0.55000000000000004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</row>
    <row r="1015" spans="1:17" ht="18" x14ac:dyDescent="0.55000000000000004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</row>
    <row r="1016" spans="1:17" ht="18" x14ac:dyDescent="0.55000000000000004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</row>
    <row r="1017" spans="1:17" ht="18" x14ac:dyDescent="0.55000000000000004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</row>
    <row r="1018" spans="1:17" ht="18" x14ac:dyDescent="0.55000000000000004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</row>
    <row r="1019" spans="1:17" ht="18" x14ac:dyDescent="0.55000000000000004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</row>
    <row r="1020" spans="1:17" ht="18" x14ac:dyDescent="0.55000000000000004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</row>
    <row r="1021" spans="1:17" ht="18" x14ac:dyDescent="0.55000000000000004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</row>
    <row r="1022" spans="1:17" ht="18" x14ac:dyDescent="0.55000000000000004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</row>
    <row r="1023" spans="1:17" ht="18" x14ac:dyDescent="0.55000000000000004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</row>
    <row r="1024" spans="1:17" ht="18" x14ac:dyDescent="0.55000000000000004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</row>
    <row r="1025" spans="1:17" ht="18" x14ac:dyDescent="0.55000000000000004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</row>
    <row r="1026" spans="1:17" ht="18" x14ac:dyDescent="0.55000000000000004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</row>
    <row r="1027" spans="1:17" ht="18" x14ac:dyDescent="0.55000000000000004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</row>
    <row r="1028" spans="1:17" ht="18" x14ac:dyDescent="0.55000000000000004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</row>
    <row r="1029" spans="1:17" ht="18" x14ac:dyDescent="0.55000000000000004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</row>
    <row r="1030" spans="1:17" ht="18" x14ac:dyDescent="0.55000000000000004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</row>
    <row r="1031" spans="1:17" ht="18" x14ac:dyDescent="0.55000000000000004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</row>
    <row r="1032" spans="1:17" ht="18" x14ac:dyDescent="0.55000000000000004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</row>
    <row r="1033" spans="1:17" ht="18" x14ac:dyDescent="0.55000000000000004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</row>
    <row r="1034" spans="1:17" ht="18" x14ac:dyDescent="0.55000000000000004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</row>
    <row r="1035" spans="1:17" ht="18" x14ac:dyDescent="0.55000000000000004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</row>
    <row r="1036" spans="1:17" ht="18" x14ac:dyDescent="0.55000000000000004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</row>
    <row r="1037" spans="1:17" ht="18" x14ac:dyDescent="0.55000000000000004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</row>
    <row r="1038" spans="1:17" ht="18" x14ac:dyDescent="0.55000000000000004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</row>
    <row r="1039" spans="1:17" ht="18" x14ac:dyDescent="0.55000000000000004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</row>
    <row r="1040" spans="1:17" ht="18" x14ac:dyDescent="0.55000000000000004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</row>
    <row r="1041" spans="1:17" ht="18" x14ac:dyDescent="0.55000000000000004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</row>
    <row r="1042" spans="1:17" ht="18" x14ac:dyDescent="0.55000000000000004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</row>
    <row r="1043" spans="1:17" ht="18" x14ac:dyDescent="0.55000000000000004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</row>
    <row r="1044" spans="1:17" ht="18" x14ac:dyDescent="0.55000000000000004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</row>
    <row r="1045" spans="1:17" ht="18" x14ac:dyDescent="0.55000000000000004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</row>
    <row r="1046" spans="1:17" ht="18" x14ac:dyDescent="0.55000000000000004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</row>
    <row r="1047" spans="1:17" ht="18" x14ac:dyDescent="0.55000000000000004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</row>
    <row r="1048" spans="1:17" ht="18" x14ac:dyDescent="0.55000000000000004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</row>
    <row r="1049" spans="1:17" ht="18" x14ac:dyDescent="0.55000000000000004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</row>
    <row r="1050" spans="1:17" ht="18" x14ac:dyDescent="0.55000000000000004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</row>
    <row r="1051" spans="1:17" ht="18" x14ac:dyDescent="0.55000000000000004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</row>
    <row r="1052" spans="1:17" ht="18" x14ac:dyDescent="0.55000000000000004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</row>
    <row r="1053" spans="1:17" ht="18" x14ac:dyDescent="0.55000000000000004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</row>
    <row r="1054" spans="1:17" ht="18" x14ac:dyDescent="0.55000000000000004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</row>
    <row r="1055" spans="1:17" ht="18" x14ac:dyDescent="0.55000000000000004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</row>
    <row r="1056" spans="1:17" ht="18" x14ac:dyDescent="0.55000000000000004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</row>
    <row r="1057" spans="1:17" ht="18" x14ac:dyDescent="0.55000000000000004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</row>
    <row r="1058" spans="1:17" ht="18" x14ac:dyDescent="0.55000000000000004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</row>
    <row r="1059" spans="1:17" ht="18" x14ac:dyDescent="0.55000000000000004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</row>
    <row r="1060" spans="1:17" ht="18" x14ac:dyDescent="0.55000000000000004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</row>
    <row r="1061" spans="1:17" ht="18" x14ac:dyDescent="0.55000000000000004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</row>
    <row r="1062" spans="1:17" ht="18" x14ac:dyDescent="0.55000000000000004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</row>
    <row r="1063" spans="1:17" ht="18" x14ac:dyDescent="0.55000000000000004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</row>
    <row r="1064" spans="1:17" ht="18" x14ac:dyDescent="0.55000000000000004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</row>
    <row r="1065" spans="1:17" ht="18" x14ac:dyDescent="0.55000000000000004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</row>
    <row r="1066" spans="1:17" ht="18" x14ac:dyDescent="0.55000000000000004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</row>
    <row r="1067" spans="1:17" ht="18" x14ac:dyDescent="0.55000000000000004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</row>
    <row r="1068" spans="1:17" ht="18" x14ac:dyDescent="0.55000000000000004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</row>
    <row r="1069" spans="1:17" ht="18" x14ac:dyDescent="0.55000000000000004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</row>
    <row r="1070" spans="1:17" ht="18" x14ac:dyDescent="0.55000000000000004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</row>
    <row r="1071" spans="1:17" ht="18" x14ac:dyDescent="0.55000000000000004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</row>
    <row r="1072" spans="1:17" ht="18" x14ac:dyDescent="0.55000000000000004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</row>
    <row r="1073" spans="1:17" ht="18" x14ac:dyDescent="0.55000000000000004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</row>
    <row r="1074" spans="1:17" ht="18" x14ac:dyDescent="0.55000000000000004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</row>
    <row r="1075" spans="1:17" ht="18" x14ac:dyDescent="0.55000000000000004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</row>
    <row r="1076" spans="1:17" ht="18" x14ac:dyDescent="0.55000000000000004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</row>
    <row r="1077" spans="1:17" ht="18" x14ac:dyDescent="0.55000000000000004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</row>
    <row r="1078" spans="1:17" ht="18" x14ac:dyDescent="0.55000000000000004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</row>
    <row r="1079" spans="1:17" ht="18" x14ac:dyDescent="0.55000000000000004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</row>
    <row r="1080" spans="1:17" ht="18" x14ac:dyDescent="0.55000000000000004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</row>
    <row r="1081" spans="1:17" ht="18" x14ac:dyDescent="0.55000000000000004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</row>
    <row r="1082" spans="1:17" ht="18" x14ac:dyDescent="0.55000000000000004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</row>
    <row r="1083" spans="1:17" ht="18" x14ac:dyDescent="0.55000000000000004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</row>
    <row r="1084" spans="1:17" ht="18" x14ac:dyDescent="0.55000000000000004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</row>
    <row r="1085" spans="1:17" ht="18" x14ac:dyDescent="0.55000000000000004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</row>
    <row r="1086" spans="1:17" ht="18" x14ac:dyDescent="0.55000000000000004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</row>
    <row r="1087" spans="1:17" ht="18" x14ac:dyDescent="0.55000000000000004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</row>
    <row r="1088" spans="1:17" ht="18" x14ac:dyDescent="0.55000000000000004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</row>
    <row r="1089" spans="1:17" ht="18" x14ac:dyDescent="0.55000000000000004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</row>
    <row r="1090" spans="1:17" ht="18" x14ac:dyDescent="0.55000000000000004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</row>
    <row r="1091" spans="1:17" ht="18" x14ac:dyDescent="0.55000000000000004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</row>
    <row r="1092" spans="1:17" ht="18" x14ac:dyDescent="0.55000000000000004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</row>
    <row r="1093" spans="1:17" ht="18" x14ac:dyDescent="0.55000000000000004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</row>
    <row r="1094" spans="1:17" ht="18" x14ac:dyDescent="0.55000000000000004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</row>
    <row r="1095" spans="1:17" ht="18" x14ac:dyDescent="0.55000000000000004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</row>
    <row r="1096" spans="1:17" ht="18" x14ac:dyDescent="0.55000000000000004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</row>
    <row r="1097" spans="1:17" ht="18" x14ac:dyDescent="0.55000000000000004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</row>
    <row r="1098" spans="1:17" ht="18" x14ac:dyDescent="0.55000000000000004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</row>
    <row r="1099" spans="1:17" ht="18" x14ac:dyDescent="0.55000000000000004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</row>
    <row r="1100" spans="1:17" ht="18" x14ac:dyDescent="0.55000000000000004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</row>
    <row r="1101" spans="1:17" ht="18" x14ac:dyDescent="0.55000000000000004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</row>
    <row r="1102" spans="1:17" ht="18" x14ac:dyDescent="0.55000000000000004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</row>
    <row r="1103" spans="1:17" ht="18" x14ac:dyDescent="0.55000000000000004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</row>
    <row r="1104" spans="1:17" ht="18" x14ac:dyDescent="0.55000000000000004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</row>
    <row r="1105" spans="1:17" ht="18" x14ac:dyDescent="0.55000000000000004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</row>
    <row r="1106" spans="1:17" ht="18" x14ac:dyDescent="0.55000000000000004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</row>
    <row r="1107" spans="1:17" ht="18" x14ac:dyDescent="0.55000000000000004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</row>
    <row r="1108" spans="1:17" ht="18" x14ac:dyDescent="0.55000000000000004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</row>
    <row r="1109" spans="1:17" ht="18" x14ac:dyDescent="0.55000000000000004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</row>
    <row r="1110" spans="1:17" ht="18" x14ac:dyDescent="0.55000000000000004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</row>
    <row r="1111" spans="1:17" ht="18" x14ac:dyDescent="0.55000000000000004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</row>
    <row r="1112" spans="1:17" ht="18" x14ac:dyDescent="0.55000000000000004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</row>
    <row r="1113" spans="1:17" ht="18" x14ac:dyDescent="0.55000000000000004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</row>
    <row r="1114" spans="1:17" ht="18" x14ac:dyDescent="0.55000000000000004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</row>
    <row r="1115" spans="1:17" ht="18" x14ac:dyDescent="0.55000000000000004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</row>
    <row r="1116" spans="1:17" ht="18" x14ac:dyDescent="0.55000000000000004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</row>
    <row r="1117" spans="1:17" ht="18" x14ac:dyDescent="0.55000000000000004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</row>
    <row r="1118" spans="1:17" ht="18" x14ac:dyDescent="0.55000000000000004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</row>
    <row r="1119" spans="1:17" ht="18" x14ac:dyDescent="0.55000000000000004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</row>
    <row r="1120" spans="1:17" ht="18" x14ac:dyDescent="0.55000000000000004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</row>
    <row r="1121" spans="1:17" ht="18" x14ac:dyDescent="0.55000000000000004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</row>
    <row r="1122" spans="1:17" ht="18" x14ac:dyDescent="0.55000000000000004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</row>
    <row r="1123" spans="1:17" ht="18" x14ac:dyDescent="0.55000000000000004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</row>
    <row r="1124" spans="1:17" ht="18" x14ac:dyDescent="0.55000000000000004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</row>
    <row r="1125" spans="1:17" ht="18" x14ac:dyDescent="0.55000000000000004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</row>
    <row r="1126" spans="1:17" ht="18" x14ac:dyDescent="0.55000000000000004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</row>
    <row r="1127" spans="1:17" ht="18" x14ac:dyDescent="0.55000000000000004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</row>
    <row r="1128" spans="1:17" ht="18" x14ac:dyDescent="0.55000000000000004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</row>
    <row r="1129" spans="1:17" ht="18" x14ac:dyDescent="0.55000000000000004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</row>
    <row r="1130" spans="1:17" ht="18" x14ac:dyDescent="0.55000000000000004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</row>
    <row r="1131" spans="1:17" ht="18" x14ac:dyDescent="0.55000000000000004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</row>
    <row r="1132" spans="1:17" ht="18" x14ac:dyDescent="0.55000000000000004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</row>
    <row r="1133" spans="1:17" ht="18" x14ac:dyDescent="0.55000000000000004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</row>
    <row r="1134" spans="1:17" ht="18" x14ac:dyDescent="0.55000000000000004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</row>
    <row r="1135" spans="1:17" ht="18" x14ac:dyDescent="0.55000000000000004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</row>
    <row r="1136" spans="1:17" ht="18" x14ac:dyDescent="0.55000000000000004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</row>
    <row r="1137" spans="1:17" ht="18" x14ac:dyDescent="0.55000000000000004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</row>
    <row r="1138" spans="1:17" ht="18" x14ac:dyDescent="0.55000000000000004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</row>
    <row r="1139" spans="1:17" ht="18" x14ac:dyDescent="0.55000000000000004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</row>
    <row r="1140" spans="1:17" ht="18" x14ac:dyDescent="0.55000000000000004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</row>
    <row r="1141" spans="1:17" ht="18" x14ac:dyDescent="0.55000000000000004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</row>
    <row r="1142" spans="1:17" ht="18" x14ac:dyDescent="0.55000000000000004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</row>
    <row r="1143" spans="1:17" ht="18" x14ac:dyDescent="0.55000000000000004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</row>
    <row r="1144" spans="1:17" ht="18" x14ac:dyDescent="0.55000000000000004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</row>
    <row r="1145" spans="1:17" ht="18" x14ac:dyDescent="0.55000000000000004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</row>
    <row r="1146" spans="1:17" ht="18" x14ac:dyDescent="0.55000000000000004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</row>
    <row r="1147" spans="1:17" ht="18" x14ac:dyDescent="0.55000000000000004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</row>
    <row r="1148" spans="1:17" ht="18" x14ac:dyDescent="0.55000000000000004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</row>
    <row r="1149" spans="1:17" ht="18" x14ac:dyDescent="0.55000000000000004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</row>
    <row r="1150" spans="1:17" ht="18" x14ac:dyDescent="0.55000000000000004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</row>
    <row r="1151" spans="1:17" ht="18" x14ac:dyDescent="0.55000000000000004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</row>
    <row r="1152" spans="1:17" ht="18" x14ac:dyDescent="0.55000000000000004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</row>
    <row r="1153" spans="1:17" ht="18" x14ac:dyDescent="0.55000000000000004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</row>
    <row r="1154" spans="1:17" ht="18" x14ac:dyDescent="0.55000000000000004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</row>
    <row r="1155" spans="1:17" ht="18" x14ac:dyDescent="0.55000000000000004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</row>
    <row r="1156" spans="1:17" ht="18" x14ac:dyDescent="0.55000000000000004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</row>
    <row r="1157" spans="1:17" ht="18" x14ac:dyDescent="0.55000000000000004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</row>
    <row r="1158" spans="1:17" ht="18" x14ac:dyDescent="0.55000000000000004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</row>
    <row r="1159" spans="1:17" ht="18" x14ac:dyDescent="0.55000000000000004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</row>
    <row r="1160" spans="1:17" ht="18" x14ac:dyDescent="0.55000000000000004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</row>
    <row r="1161" spans="1:17" ht="18" x14ac:dyDescent="0.55000000000000004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</row>
    <row r="1162" spans="1:17" ht="18" x14ac:dyDescent="0.55000000000000004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</row>
    <row r="1163" spans="1:17" ht="18" x14ac:dyDescent="0.55000000000000004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</row>
    <row r="1164" spans="1:17" ht="18" x14ac:dyDescent="0.55000000000000004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</row>
    <row r="1165" spans="1:17" ht="18" x14ac:dyDescent="0.55000000000000004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</row>
    <row r="1166" spans="1:17" ht="18" x14ac:dyDescent="0.55000000000000004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</row>
    <row r="1167" spans="1:17" ht="18" x14ac:dyDescent="0.55000000000000004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</row>
    <row r="1168" spans="1:17" ht="18" x14ac:dyDescent="0.55000000000000004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</row>
    <row r="1169" spans="1:17" ht="18" x14ac:dyDescent="0.55000000000000004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</row>
    <row r="1170" spans="1:17" ht="18" x14ac:dyDescent="0.55000000000000004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</row>
    <row r="1171" spans="1:17" ht="18" x14ac:dyDescent="0.55000000000000004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</row>
    <row r="1172" spans="1:17" ht="18" x14ac:dyDescent="0.55000000000000004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</row>
    <row r="1173" spans="1:17" ht="18" x14ac:dyDescent="0.55000000000000004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</row>
    <row r="1174" spans="1:17" ht="18" x14ac:dyDescent="0.55000000000000004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</row>
    <row r="1175" spans="1:17" ht="18" x14ac:dyDescent="0.55000000000000004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</row>
    <row r="1176" spans="1:17" ht="18" x14ac:dyDescent="0.55000000000000004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</row>
    <row r="1177" spans="1:17" ht="18" x14ac:dyDescent="0.55000000000000004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</row>
    <row r="1178" spans="1:17" ht="18" x14ac:dyDescent="0.55000000000000004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</row>
    <row r="1179" spans="1:17" ht="18" x14ac:dyDescent="0.55000000000000004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</row>
    <row r="1180" spans="1:17" ht="18" x14ac:dyDescent="0.55000000000000004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</row>
    <row r="1181" spans="1:17" ht="18" x14ac:dyDescent="0.55000000000000004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</row>
    <row r="1182" spans="1:17" ht="18" x14ac:dyDescent="0.55000000000000004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</row>
    <row r="1183" spans="1:17" ht="18" x14ac:dyDescent="0.55000000000000004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</row>
    <row r="1184" spans="1:17" ht="18" x14ac:dyDescent="0.55000000000000004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</row>
    <row r="1185" spans="1:17" ht="18" x14ac:dyDescent="0.55000000000000004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</row>
    <row r="1186" spans="1:17" ht="18" x14ac:dyDescent="0.55000000000000004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</row>
    <row r="1187" spans="1:17" ht="18" x14ac:dyDescent="0.55000000000000004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</row>
    <row r="1188" spans="1:17" ht="18" x14ac:dyDescent="0.55000000000000004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</row>
    <row r="1189" spans="1:17" ht="18" x14ac:dyDescent="0.55000000000000004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</row>
    <row r="1190" spans="1:17" ht="18" x14ac:dyDescent="0.55000000000000004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</row>
    <row r="1191" spans="1:17" ht="18" x14ac:dyDescent="0.55000000000000004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</row>
    <row r="1192" spans="1:17" ht="18" x14ac:dyDescent="0.55000000000000004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</row>
    <row r="1193" spans="1:17" ht="18" x14ac:dyDescent="0.55000000000000004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</row>
    <row r="1194" spans="1:17" ht="18" x14ac:dyDescent="0.55000000000000004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</row>
    <row r="1195" spans="1:17" ht="18" x14ac:dyDescent="0.55000000000000004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</row>
    <row r="1196" spans="1:17" ht="18" x14ac:dyDescent="0.55000000000000004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</row>
    <row r="1197" spans="1:17" ht="18" x14ac:dyDescent="0.55000000000000004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</row>
    <row r="1198" spans="1:17" ht="18" x14ac:dyDescent="0.55000000000000004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</row>
    <row r="1199" spans="1:17" ht="18" x14ac:dyDescent="0.55000000000000004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</row>
    <row r="1200" spans="1:17" ht="18" x14ac:dyDescent="0.55000000000000004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</row>
    <row r="1201" spans="1:17" ht="18" x14ac:dyDescent="0.55000000000000004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</row>
    <row r="1202" spans="1:17" ht="18" x14ac:dyDescent="0.55000000000000004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</row>
    <row r="1203" spans="1:17" ht="18" x14ac:dyDescent="0.55000000000000004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</row>
    <row r="1204" spans="1:17" ht="18" x14ac:dyDescent="0.55000000000000004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</row>
    <row r="1205" spans="1:17" ht="18" x14ac:dyDescent="0.55000000000000004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</row>
    <row r="1206" spans="1:17" ht="18" x14ac:dyDescent="0.55000000000000004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</row>
    <row r="1207" spans="1:17" ht="18" x14ac:dyDescent="0.55000000000000004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</row>
    <row r="1208" spans="1:17" ht="18" x14ac:dyDescent="0.55000000000000004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</row>
    <row r="1209" spans="1:17" ht="18" x14ac:dyDescent="0.55000000000000004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</row>
    <row r="1210" spans="1:17" ht="18" x14ac:dyDescent="0.55000000000000004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</row>
    <row r="1211" spans="1:17" ht="18" x14ac:dyDescent="0.55000000000000004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</row>
    <row r="1212" spans="1:17" ht="18" x14ac:dyDescent="0.55000000000000004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</row>
    <row r="1213" spans="1:17" ht="18" x14ac:dyDescent="0.55000000000000004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</row>
    <row r="1214" spans="1:17" ht="18" x14ac:dyDescent="0.55000000000000004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</row>
    <row r="1215" spans="1:17" ht="18" x14ac:dyDescent="0.55000000000000004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</row>
    <row r="1216" spans="1:17" ht="18" x14ac:dyDescent="0.55000000000000004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</row>
    <row r="1217" spans="1:17" ht="18" x14ac:dyDescent="0.55000000000000004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</row>
    <row r="1218" spans="1:17" ht="18" x14ac:dyDescent="0.55000000000000004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</row>
    <row r="1219" spans="1:17" ht="18" x14ac:dyDescent="0.55000000000000004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</row>
    <row r="1220" spans="1:17" ht="18" x14ac:dyDescent="0.55000000000000004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</row>
    <row r="1221" spans="1:17" ht="18" x14ac:dyDescent="0.55000000000000004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</row>
    <row r="1222" spans="1:17" ht="18" x14ac:dyDescent="0.55000000000000004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</row>
    <row r="1223" spans="1:17" ht="18" x14ac:dyDescent="0.55000000000000004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</row>
    <row r="1224" spans="1:17" ht="18" x14ac:dyDescent="0.55000000000000004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</row>
    <row r="1225" spans="1:17" ht="18" x14ac:dyDescent="0.55000000000000004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</row>
    <row r="1226" spans="1:17" ht="18" x14ac:dyDescent="0.55000000000000004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</row>
    <row r="1227" spans="1:17" ht="18" x14ac:dyDescent="0.55000000000000004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</row>
    <row r="1228" spans="1:17" ht="18" x14ac:dyDescent="0.55000000000000004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</row>
    <row r="1229" spans="1:17" ht="18" x14ac:dyDescent="0.55000000000000004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</row>
    <row r="1230" spans="1:17" ht="18" x14ac:dyDescent="0.55000000000000004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</row>
    <row r="1231" spans="1:17" ht="18" x14ac:dyDescent="0.55000000000000004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</row>
    <row r="1232" spans="1:17" ht="18" x14ac:dyDescent="0.55000000000000004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</row>
    <row r="1233" spans="1:17" ht="18" x14ac:dyDescent="0.55000000000000004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</row>
    <row r="1234" spans="1:17" ht="18" x14ac:dyDescent="0.55000000000000004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</row>
    <row r="1235" spans="1:17" ht="18" x14ac:dyDescent="0.55000000000000004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</row>
    <row r="1236" spans="1:17" ht="18" x14ac:dyDescent="0.55000000000000004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</row>
    <row r="1237" spans="1:17" ht="18" x14ac:dyDescent="0.55000000000000004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</row>
    <row r="1238" spans="1:17" ht="18" x14ac:dyDescent="0.55000000000000004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</row>
    <row r="1239" spans="1:17" ht="18" x14ac:dyDescent="0.55000000000000004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</row>
    <row r="1240" spans="1:17" ht="18" x14ac:dyDescent="0.55000000000000004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</row>
    <row r="1241" spans="1:17" ht="18" x14ac:dyDescent="0.55000000000000004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</row>
    <row r="1242" spans="1:17" ht="18" x14ac:dyDescent="0.55000000000000004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</row>
    <row r="1243" spans="1:17" ht="18" x14ac:dyDescent="0.55000000000000004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</row>
    <row r="1244" spans="1:17" ht="18" x14ac:dyDescent="0.55000000000000004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</row>
    <row r="1245" spans="1:17" ht="18" x14ac:dyDescent="0.55000000000000004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</row>
    <row r="1246" spans="1:17" ht="18" x14ac:dyDescent="0.55000000000000004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</row>
    <row r="1247" spans="1:17" ht="18" x14ac:dyDescent="0.55000000000000004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</row>
    <row r="1248" spans="1:17" ht="18" x14ac:dyDescent="0.55000000000000004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</row>
    <row r="1249" spans="1:17" ht="18" x14ac:dyDescent="0.55000000000000004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</row>
    <row r="1250" spans="1:17" ht="18" x14ac:dyDescent="0.55000000000000004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</row>
    <row r="1251" spans="1:17" ht="18" x14ac:dyDescent="0.55000000000000004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</row>
    <row r="1252" spans="1:17" ht="18" x14ac:dyDescent="0.55000000000000004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</row>
    <row r="1253" spans="1:17" ht="18" x14ac:dyDescent="0.55000000000000004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</row>
    <row r="1254" spans="1:17" ht="18" x14ac:dyDescent="0.55000000000000004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</row>
    <row r="1255" spans="1:17" ht="18" x14ac:dyDescent="0.55000000000000004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</row>
    <row r="1256" spans="1:17" ht="18" x14ac:dyDescent="0.55000000000000004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</row>
    <row r="1257" spans="1:17" ht="18" x14ac:dyDescent="0.55000000000000004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</row>
    <row r="1258" spans="1:17" ht="18" x14ac:dyDescent="0.55000000000000004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</row>
    <row r="1259" spans="1:17" ht="18" x14ac:dyDescent="0.55000000000000004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</row>
    <row r="1260" spans="1:17" ht="18" x14ac:dyDescent="0.55000000000000004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</row>
    <row r="1261" spans="1:17" ht="18" x14ac:dyDescent="0.55000000000000004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</row>
    <row r="1262" spans="1:17" ht="18" x14ac:dyDescent="0.55000000000000004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</row>
    <row r="1263" spans="1:17" ht="18" x14ac:dyDescent="0.55000000000000004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</row>
    <row r="1264" spans="1:17" ht="18" x14ac:dyDescent="0.55000000000000004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</row>
    <row r="1265" spans="1:17" ht="18" x14ac:dyDescent="0.55000000000000004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</row>
    <row r="1266" spans="1:17" ht="18" x14ac:dyDescent="0.55000000000000004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</row>
    <row r="1267" spans="1:17" ht="18" x14ac:dyDescent="0.55000000000000004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</row>
    <row r="1268" spans="1:17" ht="18" x14ac:dyDescent="0.55000000000000004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</row>
    <row r="1269" spans="1:17" ht="18" x14ac:dyDescent="0.55000000000000004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</row>
    <row r="1270" spans="1:17" ht="18" x14ac:dyDescent="0.55000000000000004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</row>
    <row r="1271" spans="1:17" ht="18" x14ac:dyDescent="0.55000000000000004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</row>
    <row r="1272" spans="1:17" ht="18" x14ac:dyDescent="0.55000000000000004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</row>
    <row r="1273" spans="1:17" ht="18" x14ac:dyDescent="0.55000000000000004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</row>
    <row r="1274" spans="1:17" ht="18" x14ac:dyDescent="0.55000000000000004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</row>
    <row r="1275" spans="1:17" ht="18" x14ac:dyDescent="0.55000000000000004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</row>
    <row r="1276" spans="1:17" ht="18" x14ac:dyDescent="0.55000000000000004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</row>
    <row r="1277" spans="1:17" ht="18" x14ac:dyDescent="0.55000000000000004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</row>
    <row r="1278" spans="1:17" ht="18" x14ac:dyDescent="0.55000000000000004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</row>
    <row r="1279" spans="1:17" ht="18" x14ac:dyDescent="0.55000000000000004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</row>
    <row r="1280" spans="1:17" ht="18" x14ac:dyDescent="0.55000000000000004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</row>
    <row r="1281" spans="1:17" ht="18" x14ac:dyDescent="0.55000000000000004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</row>
    <row r="1282" spans="1:17" ht="18" x14ac:dyDescent="0.55000000000000004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</row>
    <row r="1283" spans="1:17" ht="18" x14ac:dyDescent="0.55000000000000004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</row>
    <row r="1284" spans="1:17" ht="18" x14ac:dyDescent="0.55000000000000004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</row>
    <row r="1285" spans="1:17" ht="18" x14ac:dyDescent="0.55000000000000004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</row>
    <row r="1286" spans="1:17" ht="18" x14ac:dyDescent="0.55000000000000004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</row>
    <row r="1287" spans="1:17" ht="18" x14ac:dyDescent="0.55000000000000004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</row>
    <row r="1288" spans="1:17" ht="18" x14ac:dyDescent="0.55000000000000004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</row>
    <row r="1289" spans="1:17" ht="18" x14ac:dyDescent="0.55000000000000004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</row>
    <row r="1290" spans="1:17" ht="18" x14ac:dyDescent="0.55000000000000004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</row>
    <row r="1291" spans="1:17" ht="18" x14ac:dyDescent="0.55000000000000004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</row>
    <row r="1292" spans="1:17" ht="18" x14ac:dyDescent="0.55000000000000004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</row>
    <row r="1293" spans="1:17" ht="18" x14ac:dyDescent="0.55000000000000004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</row>
    <row r="1294" spans="1:17" ht="18" x14ac:dyDescent="0.55000000000000004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</row>
    <row r="1295" spans="1:17" ht="18" x14ac:dyDescent="0.55000000000000004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</row>
    <row r="1296" spans="1:17" ht="18" x14ac:dyDescent="0.55000000000000004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</row>
    <row r="1297" spans="1:17" ht="18" x14ac:dyDescent="0.55000000000000004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</row>
    <row r="1298" spans="1:17" ht="18" x14ac:dyDescent="0.55000000000000004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</row>
    <row r="1299" spans="1:17" ht="18" x14ac:dyDescent="0.55000000000000004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</row>
    <row r="1300" spans="1:17" ht="18" x14ac:dyDescent="0.55000000000000004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</row>
    <row r="1301" spans="1:17" ht="18" x14ac:dyDescent="0.55000000000000004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</row>
    <row r="1302" spans="1:17" ht="18" x14ac:dyDescent="0.55000000000000004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</row>
    <row r="1303" spans="1:17" ht="18" x14ac:dyDescent="0.55000000000000004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</row>
    <row r="1304" spans="1:17" ht="18" x14ac:dyDescent="0.55000000000000004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</row>
    <row r="1305" spans="1:17" ht="18" x14ac:dyDescent="0.55000000000000004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</row>
    <row r="1306" spans="1:17" ht="18" x14ac:dyDescent="0.55000000000000004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</row>
    <row r="1307" spans="1:17" ht="18" x14ac:dyDescent="0.55000000000000004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</row>
    <row r="1308" spans="1:17" ht="18" x14ac:dyDescent="0.55000000000000004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</row>
    <row r="1309" spans="1:17" ht="18" x14ac:dyDescent="0.55000000000000004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</row>
    <row r="1310" spans="1:17" ht="18" x14ac:dyDescent="0.55000000000000004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</row>
    <row r="1311" spans="1:17" ht="18" x14ac:dyDescent="0.55000000000000004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</row>
    <row r="1312" spans="1:17" ht="18" x14ac:dyDescent="0.55000000000000004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</row>
    <row r="1313" spans="1:17" ht="18" x14ac:dyDescent="0.55000000000000004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</row>
    <row r="1314" spans="1:17" ht="18" x14ac:dyDescent="0.55000000000000004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</row>
    <row r="1315" spans="1:17" ht="18" x14ac:dyDescent="0.55000000000000004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</row>
    <row r="1316" spans="1:17" ht="18" x14ac:dyDescent="0.55000000000000004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</row>
    <row r="1317" spans="1:17" ht="18" x14ac:dyDescent="0.55000000000000004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</row>
    <row r="1318" spans="1:17" ht="18" x14ac:dyDescent="0.55000000000000004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</row>
    <row r="1319" spans="1:17" ht="18" x14ac:dyDescent="0.55000000000000004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</row>
    <row r="1320" spans="1:17" ht="18" x14ac:dyDescent="0.55000000000000004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</row>
    <row r="1321" spans="1:17" ht="18" x14ac:dyDescent="0.55000000000000004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</row>
    <row r="1322" spans="1:17" ht="18" x14ac:dyDescent="0.55000000000000004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</row>
    <row r="1323" spans="1:17" ht="18" x14ac:dyDescent="0.55000000000000004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</row>
    <row r="1324" spans="1:17" ht="18" x14ac:dyDescent="0.55000000000000004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</row>
    <row r="1325" spans="1:17" ht="18" x14ac:dyDescent="0.55000000000000004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</row>
    <row r="1326" spans="1:17" ht="18" x14ac:dyDescent="0.55000000000000004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</row>
    <row r="1327" spans="1:17" ht="18" x14ac:dyDescent="0.55000000000000004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</row>
    <row r="1328" spans="1:17" ht="18" x14ac:dyDescent="0.55000000000000004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</row>
    <row r="1329" spans="1:17" ht="18" x14ac:dyDescent="0.55000000000000004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</row>
    <row r="1330" spans="1:17" ht="18" x14ac:dyDescent="0.55000000000000004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</row>
    <row r="1331" spans="1:17" ht="18" x14ac:dyDescent="0.55000000000000004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</row>
    <row r="1332" spans="1:17" ht="18" x14ac:dyDescent="0.55000000000000004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</row>
    <row r="1333" spans="1:17" ht="18" x14ac:dyDescent="0.55000000000000004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</row>
    <row r="1334" spans="1:17" ht="18" x14ac:dyDescent="0.55000000000000004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</row>
    <row r="1335" spans="1:17" ht="18" x14ac:dyDescent="0.55000000000000004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</row>
    <row r="1336" spans="1:17" ht="18" x14ac:dyDescent="0.55000000000000004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</row>
    <row r="1337" spans="1:17" ht="18" x14ac:dyDescent="0.55000000000000004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</row>
    <row r="1338" spans="1:17" ht="18" x14ac:dyDescent="0.55000000000000004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</row>
  </sheetData>
  <mergeCells count="2">
    <mergeCell ref="H1:I1"/>
    <mergeCell ref="J1:K1"/>
  </mergeCells>
  <phoneticPr fontId="1"/>
  <conditionalFormatting sqref="B2:B24 D2:D24 L2:M24">
    <cfRule type="expression" dxfId="14" priority="1" stopIfTrue="1">
      <formula>AND($A2&lt;&gt;"",B2="")</formula>
    </cfRule>
  </conditionalFormatting>
  <conditionalFormatting sqref="E22">
    <cfRule type="containsBlanks" dxfId="13" priority="2" stopIfTrue="1">
      <formula>LEN(TRIM(E22))=0</formula>
    </cfRule>
  </conditionalFormatting>
  <conditionalFormatting sqref="F2:G2 F12:G12 G14 F15:G15 G16 F17:G17 G18">
    <cfRule type="containsBlanks" dxfId="12" priority="3" stopIfTrue="1">
      <formula>LEN(TRIM(F2))=0</formula>
    </cfRule>
  </conditionalFormatting>
  <conditionalFormatting sqref="H3:H4 J3:J4 H11 J11 H20 J20">
    <cfRule type="containsBlanks" dxfId="11" priority="4" stopIfTrue="1">
      <formula>LEN(TRIM(H3))=0</formula>
    </cfRule>
  </conditionalFormatting>
  <conditionalFormatting sqref="B25:B54 D25:D54 L25:M54">
    <cfRule type="expression" dxfId="0" priority="5" stopIfTrue="1">
      <formula>AND($A25&lt;&gt;"",B25="")</formula>
    </cfRule>
  </conditionalFormatting>
  <dataValidations count="14">
    <dataValidation imeMode="on" allowBlank="1" showInputMessage="1" showErrorMessage="1" sqref="M1339:M1048576 A1 M1 A1339:A1048576" xr:uid="{82371562-DA48-418A-B9E1-F875CA10CC30}"/>
    <dataValidation imeMode="off" allowBlank="1" showInputMessage="1" showErrorMessage="1" sqref="E1:H1 L1 J1 E1339:L1048576 B1 B1339:B1048576" xr:uid="{A44170C6-B920-46F2-AEA3-D4E9954343F7}"/>
    <dataValidation type="list" allowBlank="1" showInputMessage="1" showErrorMessage="1" sqref="D2:D24 D25:D54" xr:uid="{6091F766-549A-4FBC-838C-8FA76185EF42}">
      <formula1>ドメインタイプKEY</formula1>
    </dataValidation>
    <dataValidation imeMode="on" allowBlank="1" showInputMessage="1" showErrorMessage="1" sqref="M2:M24 A2:A24" xr:uid="{DB866B5E-3DFC-46D8-AD50-737D1EFEB773}"/>
    <dataValidation imeMode="off" allowBlank="1" showInputMessage="1" showErrorMessage="1" sqref="B2:B24" xr:uid="{262F80EE-E537-4881-967A-E7790BB754A8}"/>
    <dataValidation imeMode="off" allowBlank="1" showInputMessage="1" showErrorMessage="1" sqref="E22" xr:uid="{0527AFA4-E04E-49F1-B7B5-29E228F4F149}"/>
    <dataValidation imeMode="off" allowBlank="1" showInputMessage="1" showErrorMessage="1" sqref="E7 E14 E16 E18" xr:uid="{9E9B3581-7902-4BED-A98D-40C97AB1B3D7}"/>
    <dataValidation type="whole" imeMode="off" allowBlank="1" showInputMessage="1" showErrorMessage="1" error="0-1000の間で入力可能" sqref="F2:G2 F12:G12 G14 F15:G15 G16 F17:G17 G18" xr:uid="{8B800A0B-0785-4181-AEE8-ABD04A15397C}">
      <formula1>0</formula1>
      <formula2>1000</formula2>
    </dataValidation>
    <dataValidation type="whole" imeMode="off" allowBlank="1" showInputMessage="1" showErrorMessage="1" error="0-1000の間で入力可能" sqref="F6:F7 F9 F14 F16 F18 F24" xr:uid="{982D6D4F-F24D-4C26-BEB9-316B7E2B391F}">
      <formula1>0</formula1>
      <formula2>1000</formula2>
    </dataValidation>
    <dataValidation type="whole" imeMode="off" allowBlank="1" showInputMessage="1" showErrorMessage="1" error="数値のみ入力可能" sqref="H3:H4 J3:J4 H11 J11 H20 J20" xr:uid="{BE3B41DA-8C35-4600-ADBB-E6C83DEB35D6}">
      <formula1>-99999999</formula1>
      <formula2>99999999</formula2>
    </dataValidation>
    <dataValidation type="list" imeMode="off" allowBlank="1" showInputMessage="1" showErrorMessage="1" error="1(値を含む)のみ入力可能" sqref="I3:I4 K3:K4 I11 K11 I20 K20" xr:uid="{F2ED9702-A8A1-4308-9326-DF43B35E3661}">
      <formula1>"1"</formula1>
    </dataValidation>
    <dataValidation type="textLength" imeMode="off" operator="equal" allowBlank="1" showInputMessage="1" showErrorMessage="1" error="入力不可項目です" sqref="H2:K2 F3:G5 E2:E6 H5:K6 G7:K7 E8:K8 H9:K9 F10:K10 F11:G11 H12:K12 E9:E13 F13:K13 E15 E17 H14:K18 E19:K19 E20:G21 H21:K21 F22:K22 E23:K23 E24 H24:K24" xr:uid="{14C682C3-47B9-4B67-9B8E-608BE3EFE507}">
      <formula1>0</formula1>
    </dataValidation>
    <dataValidation imeMode="on" allowBlank="1" showInputMessage="1" showErrorMessage="1" sqref="A25:A54 M25:M54" xr:uid="{D83E7D10-9746-4D82-BE3E-3D7A1C00E5EE}"/>
    <dataValidation imeMode="off" allowBlank="1" showInputMessage="1" showErrorMessage="1" sqref="B25:B54" xr:uid="{89D109D1-C957-4DB0-8AAE-9934B64EF0FC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339"/>
  <sheetViews>
    <sheetView showGridLines="0" workbookViewId="0">
      <pane ySplit="1" topLeftCell="A2" activePane="bottomLeft" state="frozen"/>
      <selection activeCell="E5" sqref="E5"/>
      <selection pane="bottomLeft" activeCell="C5" sqref="C5"/>
    </sheetView>
  </sheetViews>
  <sheetFormatPr defaultRowHeight="15" x14ac:dyDescent="0.55000000000000004"/>
  <cols>
    <col min="1" max="1" width="8.6640625" style="30"/>
    <col min="2" max="2" width="18.9140625" style="30" customWidth="1"/>
    <col min="3" max="3" width="11.08203125" style="30" bestFit="1" customWidth="1"/>
    <col min="4" max="4" width="13.75" style="30" customWidth="1"/>
    <col min="5" max="5" width="19" style="30" customWidth="1"/>
    <col min="6" max="16384" width="8.6640625" style="30"/>
  </cols>
  <sheetData>
    <row r="1" spans="1:5" s="23" customFormat="1" ht="26" x14ac:dyDescent="0.55000000000000004">
      <c r="A1" s="18" t="s">
        <v>80</v>
      </c>
      <c r="B1" s="28" t="s">
        <v>79</v>
      </c>
      <c r="C1" s="19" t="s">
        <v>72</v>
      </c>
      <c r="D1" s="19" t="s">
        <v>73</v>
      </c>
      <c r="E1" s="22" t="s">
        <v>6</v>
      </c>
    </row>
    <row r="2" spans="1:5" x14ac:dyDescent="0.55000000000000004">
      <c r="A2" s="42" t="s">
        <v>91</v>
      </c>
      <c r="B2" s="42" t="s">
        <v>103</v>
      </c>
      <c r="C2" s="42" t="s">
        <v>120</v>
      </c>
      <c r="D2" s="26" t="str">
        <f t="shared" ref="D2:D35" si="0">camel2snake(C2)</f>
        <v>campane_price</v>
      </c>
      <c r="E2" s="42" t="s">
        <v>104</v>
      </c>
    </row>
    <row r="3" spans="1:5" x14ac:dyDescent="0.55000000000000004">
      <c r="A3" s="42" t="s">
        <v>156</v>
      </c>
      <c r="B3" s="42" t="s">
        <v>169</v>
      </c>
      <c r="C3" s="42" t="s">
        <v>170</v>
      </c>
      <c r="D3" s="26" t="str">
        <f t="shared" si="0"/>
        <v>order_pic</v>
      </c>
      <c r="E3" s="42" t="s">
        <v>172</v>
      </c>
    </row>
    <row r="4" spans="1:5" x14ac:dyDescent="0.55000000000000004">
      <c r="A4" s="42" t="s">
        <v>156</v>
      </c>
      <c r="B4" s="42" t="s">
        <v>171</v>
      </c>
      <c r="C4" s="42" t="s">
        <v>216</v>
      </c>
      <c r="D4" s="26" t="str">
        <f t="shared" si="0"/>
        <v>product_pic</v>
      </c>
      <c r="E4" s="42" t="s">
        <v>173</v>
      </c>
    </row>
    <row r="5" spans="1:5" x14ac:dyDescent="0.55000000000000004">
      <c r="A5" s="49" t="s">
        <v>149</v>
      </c>
      <c r="B5" s="49" t="s">
        <v>217</v>
      </c>
      <c r="C5" s="49" t="s">
        <v>218</v>
      </c>
      <c r="D5" s="50" t="str">
        <f t="shared" si="0"/>
        <v>salese_department</v>
      </c>
      <c r="E5" s="49" t="s">
        <v>217</v>
      </c>
    </row>
    <row r="6" spans="1:5" x14ac:dyDescent="0.55000000000000004">
      <c r="A6" s="42"/>
      <c r="B6" s="42"/>
      <c r="C6" s="42"/>
      <c r="D6" s="26" t="str">
        <f t="shared" ref="D6:D35" si="1">camel2snake(C6)</f>
        <v/>
      </c>
      <c r="E6" s="42"/>
    </row>
    <row r="7" spans="1:5" x14ac:dyDescent="0.55000000000000004">
      <c r="A7" s="42"/>
      <c r="B7" s="42"/>
      <c r="C7" s="42"/>
      <c r="D7" s="26" t="str">
        <f t="shared" si="1"/>
        <v/>
      </c>
      <c r="E7" s="42"/>
    </row>
    <row r="8" spans="1:5" x14ac:dyDescent="0.55000000000000004">
      <c r="A8" s="42"/>
      <c r="B8" s="42"/>
      <c r="C8" s="42"/>
      <c r="D8" s="26" t="str">
        <f t="shared" si="1"/>
        <v/>
      </c>
      <c r="E8" s="42"/>
    </row>
    <row r="9" spans="1:5" x14ac:dyDescent="0.55000000000000004">
      <c r="A9" s="42"/>
      <c r="B9" s="42"/>
      <c r="C9" s="42"/>
      <c r="D9" s="26" t="str">
        <f t="shared" si="1"/>
        <v/>
      </c>
      <c r="E9" s="42"/>
    </row>
    <row r="10" spans="1:5" x14ac:dyDescent="0.55000000000000004">
      <c r="A10" s="42"/>
      <c r="B10" s="42"/>
      <c r="C10" s="42"/>
      <c r="D10" s="26" t="str">
        <f t="shared" si="1"/>
        <v/>
      </c>
      <c r="E10" s="42"/>
    </row>
    <row r="11" spans="1:5" x14ac:dyDescent="0.55000000000000004">
      <c r="A11" s="42"/>
      <c r="B11" s="42"/>
      <c r="C11" s="42"/>
      <c r="D11" s="26" t="str">
        <f t="shared" si="1"/>
        <v/>
      </c>
      <c r="E11" s="42"/>
    </row>
    <row r="12" spans="1:5" x14ac:dyDescent="0.55000000000000004">
      <c r="A12" s="42"/>
      <c r="B12" s="42"/>
      <c r="C12" s="42"/>
      <c r="D12" s="26" t="str">
        <f t="shared" si="1"/>
        <v/>
      </c>
      <c r="E12" s="42"/>
    </row>
    <row r="13" spans="1:5" x14ac:dyDescent="0.55000000000000004">
      <c r="A13" s="42"/>
      <c r="B13" s="42"/>
      <c r="C13" s="42"/>
      <c r="D13" s="26" t="str">
        <f t="shared" si="1"/>
        <v/>
      </c>
      <c r="E13" s="42"/>
    </row>
    <row r="14" spans="1:5" x14ac:dyDescent="0.55000000000000004">
      <c r="A14" s="42"/>
      <c r="B14" s="42"/>
      <c r="C14" s="42"/>
      <c r="D14" s="26" t="str">
        <f t="shared" si="1"/>
        <v/>
      </c>
      <c r="E14" s="42"/>
    </row>
    <row r="15" spans="1:5" x14ac:dyDescent="0.55000000000000004">
      <c r="A15" s="42"/>
      <c r="B15" s="42"/>
      <c r="C15" s="42"/>
      <c r="D15" s="26" t="str">
        <f t="shared" si="1"/>
        <v/>
      </c>
      <c r="E15" s="42"/>
    </row>
    <row r="16" spans="1:5" x14ac:dyDescent="0.55000000000000004">
      <c r="A16" s="42"/>
      <c r="B16" s="42"/>
      <c r="C16" s="42"/>
      <c r="D16" s="26" t="str">
        <f t="shared" si="1"/>
        <v/>
      </c>
      <c r="E16" s="42"/>
    </row>
    <row r="17" spans="1:5" x14ac:dyDescent="0.55000000000000004">
      <c r="A17" s="42"/>
      <c r="B17" s="42"/>
      <c r="C17" s="42"/>
      <c r="D17" s="26" t="str">
        <f t="shared" si="1"/>
        <v/>
      </c>
      <c r="E17" s="42"/>
    </row>
    <row r="18" spans="1:5" x14ac:dyDescent="0.55000000000000004">
      <c r="A18" s="42"/>
      <c r="B18" s="42"/>
      <c r="C18" s="42"/>
      <c r="D18" s="26" t="str">
        <f t="shared" si="1"/>
        <v/>
      </c>
      <c r="E18" s="42"/>
    </row>
    <row r="19" spans="1:5" x14ac:dyDescent="0.55000000000000004">
      <c r="A19" s="42"/>
      <c r="B19" s="42"/>
      <c r="C19" s="42"/>
      <c r="D19" s="26" t="str">
        <f t="shared" si="1"/>
        <v/>
      </c>
      <c r="E19" s="42"/>
    </row>
    <row r="20" spans="1:5" x14ac:dyDescent="0.55000000000000004">
      <c r="A20" s="42"/>
      <c r="B20" s="42"/>
      <c r="C20" s="42"/>
      <c r="D20" s="26" t="str">
        <f t="shared" si="1"/>
        <v/>
      </c>
      <c r="E20" s="42"/>
    </row>
    <row r="21" spans="1:5" x14ac:dyDescent="0.55000000000000004">
      <c r="A21" s="42"/>
      <c r="B21" s="42"/>
      <c r="C21" s="42"/>
      <c r="D21" s="26" t="str">
        <f t="shared" si="1"/>
        <v/>
      </c>
      <c r="E21" s="42"/>
    </row>
    <row r="22" spans="1:5" x14ac:dyDescent="0.55000000000000004">
      <c r="A22" s="42"/>
      <c r="B22" s="42"/>
      <c r="C22" s="42"/>
      <c r="D22" s="26" t="str">
        <f t="shared" si="1"/>
        <v/>
      </c>
      <c r="E22" s="42"/>
    </row>
    <row r="23" spans="1:5" x14ac:dyDescent="0.55000000000000004">
      <c r="A23" s="42"/>
      <c r="B23" s="42"/>
      <c r="C23" s="42"/>
      <c r="D23" s="26" t="str">
        <f t="shared" si="1"/>
        <v/>
      </c>
      <c r="E23" s="42"/>
    </row>
    <row r="24" spans="1:5" x14ac:dyDescent="0.55000000000000004">
      <c r="A24" s="42"/>
      <c r="B24" s="42"/>
      <c r="C24" s="42"/>
      <c r="D24" s="26" t="str">
        <f t="shared" si="1"/>
        <v/>
      </c>
      <c r="E24" s="42"/>
    </row>
    <row r="25" spans="1:5" x14ac:dyDescent="0.55000000000000004">
      <c r="A25" s="42"/>
      <c r="B25" s="42"/>
      <c r="C25" s="42"/>
      <c r="D25" s="26" t="str">
        <f t="shared" si="1"/>
        <v/>
      </c>
      <c r="E25" s="42"/>
    </row>
    <row r="26" spans="1:5" x14ac:dyDescent="0.55000000000000004">
      <c r="A26" s="42"/>
      <c r="B26" s="42"/>
      <c r="C26" s="42"/>
      <c r="D26" s="26" t="str">
        <f t="shared" si="1"/>
        <v/>
      </c>
      <c r="E26" s="42"/>
    </row>
    <row r="27" spans="1:5" x14ac:dyDescent="0.55000000000000004">
      <c r="A27" s="42"/>
      <c r="B27" s="42"/>
      <c r="C27" s="42"/>
      <c r="D27" s="26" t="str">
        <f t="shared" si="1"/>
        <v/>
      </c>
      <c r="E27" s="42"/>
    </row>
    <row r="28" spans="1:5" x14ac:dyDescent="0.55000000000000004">
      <c r="A28" s="42"/>
      <c r="B28" s="42"/>
      <c r="C28" s="42"/>
      <c r="D28" s="26" t="str">
        <f t="shared" si="1"/>
        <v/>
      </c>
      <c r="E28" s="42"/>
    </row>
    <row r="29" spans="1:5" x14ac:dyDescent="0.55000000000000004">
      <c r="A29" s="42"/>
      <c r="B29" s="42"/>
      <c r="C29" s="42"/>
      <c r="D29" s="26" t="str">
        <f t="shared" si="1"/>
        <v/>
      </c>
      <c r="E29" s="42"/>
    </row>
    <row r="30" spans="1:5" x14ac:dyDescent="0.55000000000000004">
      <c r="A30" s="42"/>
      <c r="B30" s="42"/>
      <c r="C30" s="42"/>
      <c r="D30" s="26" t="str">
        <f t="shared" si="1"/>
        <v/>
      </c>
      <c r="E30" s="42"/>
    </row>
    <row r="31" spans="1:5" x14ac:dyDescent="0.55000000000000004">
      <c r="A31" s="42"/>
      <c r="B31" s="42"/>
      <c r="C31" s="42"/>
      <c r="D31" s="26" t="str">
        <f t="shared" si="1"/>
        <v/>
      </c>
      <c r="E31" s="42"/>
    </row>
    <row r="32" spans="1:5" x14ac:dyDescent="0.55000000000000004">
      <c r="A32" s="42"/>
      <c r="B32" s="42"/>
      <c r="C32" s="42"/>
      <c r="D32" s="26" t="str">
        <f t="shared" si="1"/>
        <v/>
      </c>
      <c r="E32" s="42"/>
    </row>
    <row r="33" spans="1:5" x14ac:dyDescent="0.55000000000000004">
      <c r="A33" s="42"/>
      <c r="B33" s="42"/>
      <c r="C33" s="42"/>
      <c r="D33" s="26" t="str">
        <f t="shared" si="1"/>
        <v/>
      </c>
      <c r="E33" s="42"/>
    </row>
    <row r="34" spans="1:5" x14ac:dyDescent="0.55000000000000004">
      <c r="A34" s="42"/>
      <c r="B34" s="42"/>
      <c r="C34" s="42"/>
      <c r="D34" s="26" t="str">
        <f t="shared" si="1"/>
        <v/>
      </c>
      <c r="E34" s="42"/>
    </row>
    <row r="35" spans="1:5" x14ac:dyDescent="0.55000000000000004">
      <c r="A35" s="43"/>
      <c r="B35" s="43"/>
      <c r="C35" s="43"/>
      <c r="D35" s="27" t="str">
        <f t="shared" si="1"/>
        <v/>
      </c>
      <c r="E35" s="43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</sheetData>
  <phoneticPr fontId="1"/>
  <conditionalFormatting sqref="A2:A5">
    <cfRule type="expression" dxfId="10" priority="1" stopIfTrue="1">
      <formula>AND(A2&lt;&gt;"",ISNA(MATCH(A2,項目リスト,0)))</formula>
    </cfRule>
  </conditionalFormatting>
  <conditionalFormatting sqref="B2:C5 E2:E5">
    <cfRule type="expression" dxfId="9" priority="2" stopIfTrue="1">
      <formula>AND($A2&lt;&gt;"",B2="")</formula>
    </cfRule>
  </conditionalFormatting>
  <conditionalFormatting sqref="A6:A35">
    <cfRule type="expression" dxfId="2" priority="3" stopIfTrue="1">
      <formula>AND(A6&lt;&gt;"",ISNA(MATCH(A6,項目リスト,0)))</formula>
    </cfRule>
  </conditionalFormatting>
  <conditionalFormatting sqref="B6:C35 E6:E35">
    <cfRule type="expression" dxfId="1" priority="4" stopIfTrue="1">
      <formula>AND($A6&lt;&gt;"",B6="")</formula>
    </cfRule>
  </conditionalFormatting>
  <dataValidations count="7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5 A6:A35" xr:uid="{FB9BE42E-68FD-4BF6-B9C0-FA191404D22B}">
      <formula1>項目リスト</formula1>
    </dataValidation>
    <dataValidation imeMode="on" allowBlank="1" showInputMessage="1" showErrorMessage="1" sqref="E2:E5 B2:B5" xr:uid="{B7EBF084-3E86-43C3-A09E-C18473942889}"/>
    <dataValidation imeMode="off" allowBlank="1" showInputMessage="1" showErrorMessage="1" sqref="C2:C5" xr:uid="{B5A797AF-D967-42B7-BC7B-583005732C6D}"/>
    <dataValidation imeMode="on" allowBlank="1" showInputMessage="1" showErrorMessage="1" sqref="B6:B35 E6:E35" xr:uid="{24FA69D1-29D6-4B0D-A92C-DE53F85E09E0}"/>
    <dataValidation imeMode="off" allowBlank="1" showInputMessage="1" showErrorMessage="1" sqref="C6:C35" xr:uid="{5D071BD0-2816-4746-AC97-646C74D58623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465"/>
  <sheetViews>
    <sheetView showGridLines="0" workbookViewId="0">
      <pane ySplit="1" topLeftCell="A2" activePane="bottomLeft" state="frozen"/>
      <selection activeCell="E5" sqref="E5"/>
      <selection pane="bottomLeft" activeCell="B12" sqref="B12"/>
    </sheetView>
  </sheetViews>
  <sheetFormatPr defaultRowHeight="15" x14ac:dyDescent="0.55000000000000004"/>
  <cols>
    <col min="1" max="1" width="14.83203125" style="30" customWidth="1"/>
    <col min="2" max="2" width="10.9140625" style="30" customWidth="1"/>
    <col min="3" max="3" width="13.4140625" style="30" customWidth="1"/>
    <col min="4" max="4" width="19.08203125" style="30" customWidth="1"/>
    <col min="5" max="16384" width="8.6640625" style="30"/>
  </cols>
  <sheetData>
    <row r="1" spans="1:4" x14ac:dyDescent="0.55000000000000004">
      <c r="A1" s="18" t="s">
        <v>85</v>
      </c>
      <c r="B1" s="31" t="s">
        <v>10</v>
      </c>
      <c r="C1" s="19" t="s">
        <v>140</v>
      </c>
      <c r="D1" s="22" t="s">
        <v>6</v>
      </c>
    </row>
    <row r="2" spans="1:4" x14ac:dyDescent="0.55000000000000004">
      <c r="A2" s="42" t="s">
        <v>105</v>
      </c>
      <c r="B2" s="42" t="s">
        <v>134</v>
      </c>
      <c r="C2" s="42" t="s">
        <v>109</v>
      </c>
      <c r="D2" s="42" t="s">
        <v>110</v>
      </c>
    </row>
    <row r="3" spans="1:4" x14ac:dyDescent="0.55000000000000004">
      <c r="A3" s="42" t="s">
        <v>105</v>
      </c>
      <c r="B3" s="42" t="s">
        <v>147</v>
      </c>
      <c r="C3" s="42" t="s">
        <v>108</v>
      </c>
      <c r="D3" s="42" t="s">
        <v>111</v>
      </c>
    </row>
    <row r="4" spans="1:4" x14ac:dyDescent="0.55000000000000004">
      <c r="A4" s="42" t="s">
        <v>105</v>
      </c>
      <c r="B4" s="42" t="s">
        <v>135</v>
      </c>
      <c r="C4" s="42" t="s">
        <v>112</v>
      </c>
      <c r="D4" s="42" t="s">
        <v>115</v>
      </c>
    </row>
    <row r="5" spans="1:4" x14ac:dyDescent="0.55000000000000004">
      <c r="A5" s="42" t="s">
        <v>105</v>
      </c>
      <c r="B5" s="42" t="s">
        <v>137</v>
      </c>
      <c r="C5" s="42" t="s">
        <v>113</v>
      </c>
      <c r="D5" s="42" t="s">
        <v>114</v>
      </c>
    </row>
    <row r="6" spans="1:4" x14ac:dyDescent="0.55000000000000004">
      <c r="A6" s="42" t="s">
        <v>149</v>
      </c>
      <c r="B6" s="42" t="s">
        <v>174</v>
      </c>
      <c r="C6" s="42" t="s">
        <v>175</v>
      </c>
      <c r="D6" s="42" t="s">
        <v>176</v>
      </c>
    </row>
    <row r="7" spans="1:4" x14ac:dyDescent="0.55000000000000004">
      <c r="A7" s="42" t="s">
        <v>149</v>
      </c>
      <c r="B7" s="42" t="s">
        <v>177</v>
      </c>
      <c r="C7" s="42" t="s">
        <v>178</v>
      </c>
      <c r="D7" s="42" t="s">
        <v>179</v>
      </c>
    </row>
    <row r="8" spans="1:4" x14ac:dyDescent="0.55000000000000004">
      <c r="A8" s="42" t="s">
        <v>149</v>
      </c>
      <c r="B8" s="42" t="s">
        <v>180</v>
      </c>
      <c r="C8" s="42" t="s">
        <v>181</v>
      </c>
      <c r="D8" s="42" t="s">
        <v>182</v>
      </c>
    </row>
    <row r="9" spans="1:4" x14ac:dyDescent="0.55000000000000004">
      <c r="A9" s="42" t="s">
        <v>149</v>
      </c>
      <c r="B9" s="42" t="s">
        <v>183</v>
      </c>
      <c r="C9" s="42" t="s">
        <v>184</v>
      </c>
      <c r="D9" s="42" t="s">
        <v>185</v>
      </c>
    </row>
    <row r="10" spans="1:4" x14ac:dyDescent="0.55000000000000004">
      <c r="A10" s="42" t="s">
        <v>149</v>
      </c>
      <c r="B10" s="42" t="s">
        <v>186</v>
      </c>
      <c r="C10" s="42" t="s">
        <v>187</v>
      </c>
      <c r="D10" s="42" t="s">
        <v>188</v>
      </c>
    </row>
    <row r="11" spans="1:4" x14ac:dyDescent="0.55000000000000004">
      <c r="A11" s="42" t="s">
        <v>227</v>
      </c>
      <c r="B11" s="42" t="s">
        <v>234</v>
      </c>
      <c r="C11" s="42" t="s">
        <v>235</v>
      </c>
      <c r="D11" s="42" t="s">
        <v>235</v>
      </c>
    </row>
    <row r="12" spans="1:4" x14ac:dyDescent="0.55000000000000004">
      <c r="A12" s="42" t="s">
        <v>227</v>
      </c>
      <c r="B12" s="42" t="s">
        <v>232</v>
      </c>
      <c r="C12" s="42" t="s">
        <v>108</v>
      </c>
      <c r="D12" s="42" t="s">
        <v>236</v>
      </c>
    </row>
    <row r="13" spans="1:4" x14ac:dyDescent="0.55000000000000004">
      <c r="A13" s="42" t="s">
        <v>227</v>
      </c>
      <c r="B13" s="42" t="s">
        <v>237</v>
      </c>
      <c r="C13" s="42" t="s">
        <v>238</v>
      </c>
      <c r="D13" s="42" t="s">
        <v>238</v>
      </c>
    </row>
    <row r="14" spans="1:4" x14ac:dyDescent="0.55000000000000004">
      <c r="A14" s="49" t="s">
        <v>227</v>
      </c>
      <c r="B14" s="49" t="s">
        <v>239</v>
      </c>
      <c r="C14" s="49" t="s">
        <v>240</v>
      </c>
      <c r="D14" s="49" t="s">
        <v>240</v>
      </c>
    </row>
    <row r="15" spans="1:4" x14ac:dyDescent="0.55000000000000004">
      <c r="A15" s="42"/>
      <c r="B15" s="42"/>
      <c r="C15" s="42"/>
      <c r="D15" s="42"/>
    </row>
    <row r="16" spans="1:4" x14ac:dyDescent="0.55000000000000004">
      <c r="A16" s="42"/>
      <c r="B16" s="42"/>
      <c r="C16" s="42"/>
      <c r="D16" s="42"/>
    </row>
    <row r="17" spans="1:4" x14ac:dyDescent="0.55000000000000004">
      <c r="A17" s="42"/>
      <c r="B17" s="42"/>
      <c r="C17" s="42"/>
      <c r="D17" s="42"/>
    </row>
    <row r="18" spans="1:4" x14ac:dyDescent="0.55000000000000004">
      <c r="A18" s="42"/>
      <c r="B18" s="42"/>
      <c r="C18" s="42"/>
      <c r="D18" s="42"/>
    </row>
    <row r="19" spans="1:4" x14ac:dyDescent="0.55000000000000004">
      <c r="A19" s="42"/>
      <c r="B19" s="42"/>
      <c r="C19" s="42"/>
      <c r="D19" s="42"/>
    </row>
    <row r="20" spans="1:4" x14ac:dyDescent="0.55000000000000004">
      <c r="A20" s="42"/>
      <c r="B20" s="42"/>
      <c r="C20" s="42"/>
      <c r="D20" s="42"/>
    </row>
    <row r="21" spans="1:4" x14ac:dyDescent="0.55000000000000004">
      <c r="A21" s="42"/>
      <c r="B21" s="42"/>
      <c r="C21" s="42"/>
      <c r="D21" s="42"/>
    </row>
    <row r="22" spans="1:4" x14ac:dyDescent="0.55000000000000004">
      <c r="A22" s="42"/>
      <c r="B22" s="42"/>
      <c r="C22" s="42"/>
      <c r="D22" s="42"/>
    </row>
    <row r="23" spans="1:4" x14ac:dyDescent="0.55000000000000004">
      <c r="A23" s="42"/>
      <c r="B23" s="42"/>
      <c r="C23" s="42"/>
      <c r="D23" s="42"/>
    </row>
    <row r="24" spans="1:4" x14ac:dyDescent="0.55000000000000004">
      <c r="A24" s="42"/>
      <c r="B24" s="42"/>
      <c r="C24" s="42"/>
      <c r="D24" s="42"/>
    </row>
    <row r="25" spans="1:4" x14ac:dyDescent="0.55000000000000004">
      <c r="A25" s="42"/>
      <c r="B25" s="42"/>
      <c r="C25" s="42"/>
      <c r="D25" s="42"/>
    </row>
    <row r="26" spans="1:4" x14ac:dyDescent="0.55000000000000004">
      <c r="A26" s="42"/>
      <c r="B26" s="42"/>
      <c r="C26" s="42"/>
      <c r="D26" s="42"/>
    </row>
    <row r="27" spans="1:4" x14ac:dyDescent="0.55000000000000004">
      <c r="A27" s="42"/>
      <c r="B27" s="42"/>
      <c r="C27" s="42"/>
      <c r="D27" s="42"/>
    </row>
    <row r="28" spans="1:4" x14ac:dyDescent="0.55000000000000004">
      <c r="A28" s="42"/>
      <c r="B28" s="42"/>
      <c r="C28" s="42"/>
      <c r="D28" s="42"/>
    </row>
    <row r="29" spans="1:4" x14ac:dyDescent="0.55000000000000004">
      <c r="A29" s="42"/>
      <c r="B29" s="42"/>
      <c r="C29" s="42"/>
      <c r="D29" s="42"/>
    </row>
    <row r="30" spans="1:4" x14ac:dyDescent="0.55000000000000004">
      <c r="A30" s="42"/>
      <c r="B30" s="42"/>
      <c r="C30" s="42"/>
      <c r="D30" s="42"/>
    </row>
    <row r="31" spans="1:4" x14ac:dyDescent="0.55000000000000004">
      <c r="A31" s="42"/>
      <c r="B31" s="42"/>
      <c r="C31" s="42"/>
      <c r="D31" s="42"/>
    </row>
    <row r="32" spans="1:4" x14ac:dyDescent="0.55000000000000004">
      <c r="A32" s="42"/>
      <c r="B32" s="42"/>
      <c r="C32" s="42"/>
      <c r="D32" s="42"/>
    </row>
    <row r="33" spans="1:4" x14ac:dyDescent="0.55000000000000004">
      <c r="A33" s="42"/>
      <c r="B33" s="42"/>
      <c r="C33" s="42"/>
      <c r="D33" s="42"/>
    </row>
    <row r="34" spans="1:4" x14ac:dyDescent="0.55000000000000004">
      <c r="A34" s="42"/>
      <c r="B34" s="42"/>
      <c r="C34" s="42"/>
      <c r="D34" s="42"/>
    </row>
    <row r="35" spans="1:4" x14ac:dyDescent="0.55000000000000004">
      <c r="A35" s="42"/>
      <c r="B35" s="42"/>
      <c r="C35" s="42"/>
      <c r="D35" s="42"/>
    </row>
    <row r="36" spans="1:4" x14ac:dyDescent="0.55000000000000004">
      <c r="A36" s="42"/>
      <c r="B36" s="42"/>
      <c r="C36" s="42"/>
      <c r="D36" s="42"/>
    </row>
    <row r="37" spans="1:4" x14ac:dyDescent="0.55000000000000004">
      <c r="A37" s="42"/>
      <c r="B37" s="42"/>
      <c r="C37" s="42"/>
      <c r="D37" s="42"/>
    </row>
    <row r="38" spans="1:4" x14ac:dyDescent="0.55000000000000004">
      <c r="A38" s="42"/>
      <c r="B38" s="42"/>
      <c r="C38" s="42"/>
      <c r="D38" s="42"/>
    </row>
    <row r="39" spans="1:4" x14ac:dyDescent="0.55000000000000004">
      <c r="A39" s="42"/>
      <c r="B39" s="42"/>
      <c r="C39" s="42"/>
      <c r="D39" s="42"/>
    </row>
    <row r="40" spans="1:4" x14ac:dyDescent="0.55000000000000004">
      <c r="A40" s="42"/>
      <c r="B40" s="42"/>
      <c r="C40" s="42"/>
      <c r="D40" s="42"/>
    </row>
    <row r="41" spans="1:4" x14ac:dyDescent="0.55000000000000004">
      <c r="A41" s="42"/>
      <c r="B41" s="42"/>
      <c r="C41" s="42"/>
      <c r="D41" s="42"/>
    </row>
    <row r="42" spans="1:4" x14ac:dyDescent="0.55000000000000004">
      <c r="A42" s="42"/>
      <c r="B42" s="42"/>
      <c r="C42" s="42"/>
      <c r="D42" s="42"/>
    </row>
    <row r="43" spans="1:4" x14ac:dyDescent="0.55000000000000004">
      <c r="A43" s="42"/>
      <c r="B43" s="42"/>
      <c r="C43" s="42"/>
      <c r="D43" s="42"/>
    </row>
    <row r="44" spans="1:4" x14ac:dyDescent="0.55000000000000004">
      <c r="A44" s="43"/>
      <c r="B44" s="43"/>
      <c r="C44" s="43"/>
      <c r="D44" s="43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</sheetData>
  <phoneticPr fontId="1"/>
  <conditionalFormatting sqref="A2:A14">
    <cfRule type="expression" dxfId="8" priority="1" stopIfTrue="1">
      <formula>AND(A2&lt;&gt;"",ISNA(MATCH(A2,区分値リスト,0)))</formula>
    </cfRule>
  </conditionalFormatting>
  <conditionalFormatting sqref="B2:D14">
    <cfRule type="expression" dxfId="7" priority="2" stopIfTrue="1">
      <formula>AND($A2&lt;&gt;"",B2="")</formula>
    </cfRule>
  </conditionalFormatting>
  <conditionalFormatting sqref="A15:A44">
    <cfRule type="expression" dxfId="4" priority="3" stopIfTrue="1">
      <formula>AND(A15&lt;&gt;"",ISNA(MATCH(A15,区分値リスト,0)))</formula>
    </cfRule>
  </conditionalFormatting>
  <conditionalFormatting sqref="B15:D44">
    <cfRule type="expression" dxfId="3" priority="4" stopIfTrue="1">
      <formula>AND($A15&lt;&gt;"",B15="")</formula>
    </cfRule>
  </conditionalFormatting>
  <dataValidations count="6">
    <dataValidation imeMode="on" allowBlank="1" showInputMessage="1" showErrorMessage="1" sqref="D1 A1:B1" xr:uid="{C5AAAFF2-DD94-4110-B09E-5AAB7B674F1C}"/>
    <dataValidation type="list" allowBlank="1" showInputMessage="1" showErrorMessage="1" sqref="A2:A14 A15:A44" xr:uid="{6023A3D2-5A66-44B7-90D4-13F3190857F7}">
      <formula1>区分値リスト</formula1>
    </dataValidation>
    <dataValidation imeMode="on" allowBlank="1" showInputMessage="1" showErrorMessage="1" sqref="C2:D14" xr:uid="{06A90434-63D2-487C-9CF7-328824C3858C}"/>
    <dataValidation imeMode="off" allowBlank="1" showInputMessage="1" showErrorMessage="1" sqref="B2:B14" xr:uid="{A8BED833-9DF0-48B2-8988-021F36AED6EC}"/>
    <dataValidation imeMode="on" allowBlank="1" showInputMessage="1" showErrorMessage="1" sqref="C15:D44" xr:uid="{D5B526CD-0B26-406D-B432-9DACABAD1BCA}"/>
    <dataValidation imeMode="off" allowBlank="1" showInputMessage="1" showErrorMessage="1" sqref="B15:B44" xr:uid="{F2C281F5-C14C-41F9-9BC7-DD36C382DF70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5" activePane="bottomLeft" state="frozen"/>
      <selection pane="bottomLeft" activeCell="A10" sqref="A10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58</v>
      </c>
      <c r="C1" s="15" t="s">
        <v>59</v>
      </c>
      <c r="D1" s="15" t="s">
        <v>60</v>
      </c>
      <c r="E1" s="15" t="s">
        <v>61</v>
      </c>
      <c r="F1" s="15" t="s">
        <v>62</v>
      </c>
      <c r="G1" s="15" t="s">
        <v>62</v>
      </c>
      <c r="H1" s="16" t="s">
        <v>1</v>
      </c>
      <c r="I1" s="16" t="s">
        <v>2</v>
      </c>
      <c r="J1" s="16" t="s">
        <v>3</v>
      </c>
      <c r="K1" s="15" t="s">
        <v>76</v>
      </c>
      <c r="L1" s="15" t="s">
        <v>63</v>
      </c>
      <c r="M1" s="16" t="s">
        <v>6</v>
      </c>
      <c r="N1" s="17" t="s">
        <v>12</v>
      </c>
    </row>
    <row r="2" spans="1:14" ht="45" x14ac:dyDescent="0.55000000000000004">
      <c r="A2" s="2" t="s">
        <v>9</v>
      </c>
      <c r="B2" s="2" t="s">
        <v>9</v>
      </c>
      <c r="C2" s="2" t="s">
        <v>37</v>
      </c>
      <c r="D2" s="2" t="s">
        <v>26</v>
      </c>
      <c r="E2" s="2" t="s">
        <v>37</v>
      </c>
      <c r="F2" s="2" t="s">
        <v>39</v>
      </c>
      <c r="G2" s="2" t="s">
        <v>37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66</v>
      </c>
      <c r="N2" s="2" t="s">
        <v>18</v>
      </c>
    </row>
    <row r="3" spans="1:14" ht="45" x14ac:dyDescent="0.55000000000000004">
      <c r="A3" s="5" t="s">
        <v>8</v>
      </c>
      <c r="B3" s="5" t="s">
        <v>26</v>
      </c>
      <c r="C3" s="5" t="s">
        <v>33</v>
      </c>
      <c r="D3" s="5" t="s">
        <v>26</v>
      </c>
      <c r="E3" s="5" t="s">
        <v>40</v>
      </c>
      <c r="F3" s="5" t="s">
        <v>39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65</v>
      </c>
      <c r="N3" s="5" t="s">
        <v>17</v>
      </c>
    </row>
    <row r="4" spans="1:14" ht="45" x14ac:dyDescent="0.55000000000000004">
      <c r="A4" s="5" t="s">
        <v>7</v>
      </c>
      <c r="B4" s="5" t="s">
        <v>27</v>
      </c>
      <c r="C4" s="5" t="s">
        <v>32</v>
      </c>
      <c r="D4" s="5" t="s">
        <v>41</v>
      </c>
      <c r="E4" s="5" t="s">
        <v>42</v>
      </c>
      <c r="F4" s="5" t="s">
        <v>43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64</v>
      </c>
      <c r="N4" s="5" t="s">
        <v>16</v>
      </c>
    </row>
    <row r="5" spans="1:14" ht="30" x14ac:dyDescent="0.55000000000000004">
      <c r="A5" s="5" t="s">
        <v>10</v>
      </c>
      <c r="B5" s="5" t="s">
        <v>28</v>
      </c>
      <c r="C5" s="5" t="s">
        <v>38</v>
      </c>
      <c r="D5" s="5" t="s">
        <v>26</v>
      </c>
      <c r="E5" s="5" t="s">
        <v>40</v>
      </c>
      <c r="F5" s="5" t="s">
        <v>39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67</v>
      </c>
      <c r="N5" s="5" t="s">
        <v>14</v>
      </c>
    </row>
    <row r="6" spans="1:14" ht="45" x14ac:dyDescent="0.55000000000000004">
      <c r="A6" s="5" t="s">
        <v>11</v>
      </c>
      <c r="B6" s="5" t="s">
        <v>26</v>
      </c>
      <c r="C6" s="5" t="s">
        <v>33</v>
      </c>
      <c r="D6" s="5" t="s">
        <v>26</v>
      </c>
      <c r="E6" s="5" t="s">
        <v>40</v>
      </c>
      <c r="F6" s="5" t="s">
        <v>39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68</v>
      </c>
      <c r="N6" s="5" t="s">
        <v>13</v>
      </c>
    </row>
    <row r="7" spans="1:14" ht="45" x14ac:dyDescent="0.55000000000000004">
      <c r="A7" s="5" t="s">
        <v>15</v>
      </c>
      <c r="B7" s="5" t="s">
        <v>29</v>
      </c>
      <c r="C7" s="5" t="s">
        <v>35</v>
      </c>
      <c r="D7" s="5" t="s">
        <v>29</v>
      </c>
      <c r="E7" s="5" t="s">
        <v>53</v>
      </c>
      <c r="F7" s="5" t="s">
        <v>53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69</v>
      </c>
      <c r="N7" s="38" t="s">
        <v>130</v>
      </c>
    </row>
    <row r="8" spans="1:14" x14ac:dyDescent="0.55000000000000004">
      <c r="A8" s="5" t="s">
        <v>20</v>
      </c>
      <c r="B8" s="5" t="s">
        <v>30</v>
      </c>
      <c r="C8" s="5" t="s">
        <v>36</v>
      </c>
      <c r="D8" s="5" t="s">
        <v>26</v>
      </c>
      <c r="E8" s="5" t="s">
        <v>51</v>
      </c>
      <c r="F8" s="5" t="s">
        <v>39</v>
      </c>
      <c r="G8" s="5" t="s">
        <v>36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44</v>
      </c>
      <c r="N8" s="5" t="s">
        <v>55</v>
      </c>
    </row>
    <row r="9" spans="1:14" x14ac:dyDescent="0.55000000000000004">
      <c r="A9" s="5" t="s">
        <v>19</v>
      </c>
      <c r="B9" s="5" t="s">
        <v>30</v>
      </c>
      <c r="C9" s="5" t="s">
        <v>36</v>
      </c>
      <c r="D9" s="5" t="s">
        <v>26</v>
      </c>
      <c r="E9" s="5" t="s">
        <v>52</v>
      </c>
      <c r="F9" s="5" t="s">
        <v>39</v>
      </c>
      <c r="G9" s="5" t="s">
        <v>52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44</v>
      </c>
      <c r="N9" s="5" t="s">
        <v>56</v>
      </c>
    </row>
    <row r="10" spans="1:14" x14ac:dyDescent="0.55000000000000004">
      <c r="A10" s="5" t="s">
        <v>21</v>
      </c>
      <c r="B10" s="5" t="s">
        <v>30</v>
      </c>
      <c r="C10" s="5" t="s">
        <v>36</v>
      </c>
      <c r="D10" s="5" t="s">
        <v>26</v>
      </c>
      <c r="E10" s="5" t="s">
        <v>40</v>
      </c>
      <c r="F10" s="5" t="s">
        <v>39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44</v>
      </c>
      <c r="N10" s="5" t="s">
        <v>57</v>
      </c>
    </row>
    <row r="11" spans="1:14" x14ac:dyDescent="0.55000000000000004">
      <c r="A11" s="5" t="s">
        <v>22</v>
      </c>
      <c r="B11" s="5" t="s">
        <v>27</v>
      </c>
      <c r="C11" s="5" t="s">
        <v>32</v>
      </c>
      <c r="D11" s="5" t="s">
        <v>41</v>
      </c>
      <c r="E11" s="5" t="s">
        <v>43</v>
      </c>
      <c r="F11" s="5" t="s">
        <v>43</v>
      </c>
      <c r="G11" s="5"/>
      <c r="H11" s="6">
        <v>-1</v>
      </c>
      <c r="I11" s="6">
        <v>-1</v>
      </c>
      <c r="J11" s="6">
        <v>-1</v>
      </c>
      <c r="K11" s="6">
        <v>1</v>
      </c>
      <c r="L11" s="7"/>
      <c r="M11" s="12" t="s">
        <v>45</v>
      </c>
      <c r="N11" s="5"/>
    </row>
    <row r="12" spans="1:14" x14ac:dyDescent="0.55000000000000004">
      <c r="A12" s="5" t="s">
        <v>23</v>
      </c>
      <c r="B12" s="5" t="s">
        <v>31</v>
      </c>
      <c r="C12" s="5" t="s">
        <v>34</v>
      </c>
      <c r="D12" s="5" t="s">
        <v>41</v>
      </c>
      <c r="E12" s="5" t="s">
        <v>50</v>
      </c>
      <c r="F12" s="5" t="s">
        <v>54</v>
      </c>
      <c r="G12" s="5"/>
      <c r="H12" s="6">
        <v>-1</v>
      </c>
      <c r="I12" s="6">
        <v>-1</v>
      </c>
      <c r="J12" s="6">
        <v>-1</v>
      </c>
      <c r="K12" s="6">
        <v>1</v>
      </c>
      <c r="L12" s="7"/>
      <c r="M12" s="12" t="s">
        <v>46</v>
      </c>
      <c r="N12" s="5"/>
    </row>
    <row r="13" spans="1:14" x14ac:dyDescent="0.55000000000000004">
      <c r="A13" s="5" t="s">
        <v>24</v>
      </c>
      <c r="B13" s="5" t="s">
        <v>26</v>
      </c>
      <c r="C13" s="5" t="s">
        <v>33</v>
      </c>
      <c r="D13" s="5" t="s">
        <v>26</v>
      </c>
      <c r="E13" s="5" t="s">
        <v>40</v>
      </c>
      <c r="F13" s="5" t="s">
        <v>39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47</v>
      </c>
      <c r="N13" s="5"/>
    </row>
    <row r="14" spans="1:14" x14ac:dyDescent="0.55000000000000004">
      <c r="A14" s="8" t="s">
        <v>25</v>
      </c>
      <c r="B14" s="8" t="s">
        <v>26</v>
      </c>
      <c r="C14" s="8" t="s">
        <v>33</v>
      </c>
      <c r="D14" s="8" t="s">
        <v>26</v>
      </c>
      <c r="E14" s="8" t="s">
        <v>49</v>
      </c>
      <c r="F14" s="8" t="s">
        <v>39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48</v>
      </c>
      <c r="N14" s="8"/>
    </row>
  </sheetData>
  <phoneticPr fontId="1"/>
  <conditionalFormatting sqref="H2:K14">
    <cfRule type="cellIs" dxfId="17" priority="1" operator="equal">
      <formula>0</formula>
    </cfRule>
    <cfRule type="cellIs" dxfId="16" priority="2" operator="lessThan">
      <formula>0</formula>
    </cfRule>
    <cfRule type="cellIs" dxfId="15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35846-6026-4138-A37D-F05C272D4B52}">
  <sheetPr codeName="settings">
    <tabColor theme="9" tint="0.59999389629810485"/>
  </sheetPr>
  <dimension ref="B1:E15"/>
  <sheetViews>
    <sheetView workbookViewId="0">
      <selection activeCell="C5" sqref="C5"/>
    </sheetView>
  </sheetViews>
  <sheetFormatPr defaultRowHeight="18" x14ac:dyDescent="0.55000000000000004"/>
  <cols>
    <col min="2" max="2" width="22.58203125" customWidth="1"/>
    <col min="3" max="3" width="31.33203125" customWidth="1"/>
    <col min="4" max="4" width="5.25" customWidth="1"/>
    <col min="5" max="5" width="55.08203125" customWidth="1"/>
  </cols>
  <sheetData>
    <row r="1" spans="2:5" x14ac:dyDescent="0.55000000000000004">
      <c r="D1" s="32"/>
    </row>
    <row r="2" spans="2:5" x14ac:dyDescent="0.55000000000000004">
      <c r="B2" t="s">
        <v>86</v>
      </c>
      <c r="C2" t="str" cm="1">
        <f t="array" aca="1" ref="C2" ca="1">LEFT(CELL("filename",$A$1),FIND("[",CELL("filename",$A$1))-1)</f>
        <v>C:\Users\andre\.local\share\go\workspace\define-monad\</v>
      </c>
      <c r="D2" s="32"/>
    </row>
    <row r="3" spans="2:5" x14ac:dyDescent="0.55000000000000004">
      <c r="B3" t="s">
        <v>70</v>
      </c>
      <c r="C3" t="s">
        <v>87</v>
      </c>
      <c r="D3" s="32"/>
      <c r="E3" t="str">
        <f ca="1">C2&amp;C3&amp;"\"</f>
        <v>C:\Users\andre\.local\share\go\workspace\define-monad\dist\</v>
      </c>
    </row>
    <row r="4" spans="2:5" x14ac:dyDescent="0.55000000000000004">
      <c r="D4" s="32"/>
    </row>
    <row r="5" spans="2:5" x14ac:dyDescent="0.55000000000000004">
      <c r="B5" t="s">
        <v>88</v>
      </c>
      <c r="D5" s="32"/>
    </row>
    <row r="6" spans="2:5" x14ac:dyDescent="0.55000000000000004">
      <c r="B6" s="29" t="s">
        <v>132</v>
      </c>
      <c r="C6" s="29" t="s">
        <v>133</v>
      </c>
      <c r="D6" s="32" t="s">
        <v>89</v>
      </c>
      <c r="E6" s="33" t="str">
        <f ca="1">$E$3&amp;C6</f>
        <v>C:\Users\andre\.local\share\go\workspace\define-monad\dist\save_data.yaml</v>
      </c>
    </row>
    <row r="7" spans="2:5" x14ac:dyDescent="0.55000000000000004">
      <c r="D7" s="32"/>
    </row>
    <row r="8" spans="2:5" x14ac:dyDescent="0.55000000000000004">
      <c r="B8" s="29" t="s">
        <v>136</v>
      </c>
      <c r="C8" s="29" t="s">
        <v>224</v>
      </c>
      <c r="D8" s="32" t="s">
        <v>89</v>
      </c>
      <c r="E8" s="33" t="str">
        <f ca="1">$E$3&amp;C8</f>
        <v>C:\Users\andre\.local\share\go\workspace\define-monad\dist\table_elements.yaml</v>
      </c>
    </row>
    <row r="9" spans="2:5" x14ac:dyDescent="0.55000000000000004">
      <c r="B9" s="29" t="s">
        <v>138</v>
      </c>
      <c r="C9" s="29" t="s">
        <v>139</v>
      </c>
      <c r="D9" s="32" t="s">
        <v>89</v>
      </c>
      <c r="E9" s="33" t="str">
        <f ca="1">$E$3&amp;C9</f>
        <v>C:\Users\andre\.local\share\go\workspace\define-monad\dist\api_elements.yaml</v>
      </c>
    </row>
    <row r="10" spans="2:5" x14ac:dyDescent="0.55000000000000004">
      <c r="B10" s="29" t="s">
        <v>148</v>
      </c>
      <c r="C10" s="29" t="s">
        <v>219</v>
      </c>
      <c r="D10" s="32" t="s">
        <v>89</v>
      </c>
      <c r="E10" s="33" t="str">
        <f ca="1">$E$3&amp;C10</f>
        <v>C:\Users\andre\.local\share\go\workspace\define-monad\dist\01_types.sql</v>
      </c>
    </row>
    <row r="12" spans="2:5" x14ac:dyDescent="0.55000000000000004">
      <c r="B12" s="29" t="s">
        <v>144</v>
      </c>
      <c r="C12" s="29" t="s">
        <v>143</v>
      </c>
      <c r="D12" s="32" t="s">
        <v>89</v>
      </c>
      <c r="E12" s="33" t="str">
        <f ca="1">$E$3&amp;C12</f>
        <v>C:\Users\andre\.local\share\go\workspace\define-monad\dist\view_elements.tsv</v>
      </c>
    </row>
    <row r="13" spans="2:5" x14ac:dyDescent="0.55000000000000004">
      <c r="B13" s="29" t="s">
        <v>145</v>
      </c>
      <c r="C13" s="29" t="s">
        <v>142</v>
      </c>
      <c r="D13" s="32" t="s">
        <v>89</v>
      </c>
      <c r="E13" s="33" t="str">
        <f ca="1">$E$3&amp;C13</f>
        <v>C:\Users\andre\.local\share\go\workspace\define-monad\dist\view_derive_elements.tsv</v>
      </c>
    </row>
    <row r="14" spans="2:5" x14ac:dyDescent="0.55000000000000004">
      <c r="B14" s="29" t="s">
        <v>146</v>
      </c>
      <c r="C14" s="29" t="s">
        <v>141</v>
      </c>
      <c r="D14" s="32" t="s">
        <v>89</v>
      </c>
      <c r="E14" s="33" t="str">
        <f ca="1">$E$3&amp;C14</f>
        <v>C:\Users\andre\.local\share\go\workspace\define-monad\dist\view_segments.tsv</v>
      </c>
    </row>
    <row r="15" spans="2:5" x14ac:dyDescent="0.55000000000000004">
      <c r="D15" s="32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4"/>
  <sheetViews>
    <sheetView workbookViewId="0">
      <selection activeCell="F2" sqref="F2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81</v>
      </c>
      <c r="F1" t="s">
        <v>82</v>
      </c>
    </row>
    <row r="2" spans="1:6" x14ac:dyDescent="0.55000000000000004">
      <c r="B2" s="24" t="s">
        <v>77</v>
      </c>
      <c r="D2" t="s">
        <v>191</v>
      </c>
      <c r="F2" t="s">
        <v>105</v>
      </c>
    </row>
    <row r="3" spans="1:6" x14ac:dyDescent="0.55000000000000004">
      <c r="B3" s="25" t="s">
        <v>78</v>
      </c>
      <c r="D3" t="s">
        <v>91</v>
      </c>
      <c r="F3" t="s">
        <v>149</v>
      </c>
    </row>
    <row r="4" spans="1:6" x14ac:dyDescent="0.55000000000000004">
      <c r="D4" t="s">
        <v>92</v>
      </c>
      <c r="F4" t="s">
        <v>227</v>
      </c>
    </row>
    <row r="5" spans="1:6" x14ac:dyDescent="0.55000000000000004">
      <c r="A5" t="s">
        <v>84</v>
      </c>
      <c r="B5" s="29" t="s">
        <v>91</v>
      </c>
      <c r="D5" t="s">
        <v>101</v>
      </c>
    </row>
    <row r="6" spans="1:6" x14ac:dyDescent="0.55000000000000004">
      <c r="A6" t="s">
        <v>83</v>
      </c>
      <c r="B6" s="29"/>
      <c r="D6" t="s">
        <v>105</v>
      </c>
    </row>
    <row r="7" spans="1:6" x14ac:dyDescent="0.55000000000000004">
      <c r="A7" t="s">
        <v>85</v>
      </c>
      <c r="B7" s="29" t="s">
        <v>91</v>
      </c>
      <c r="D7" t="s">
        <v>121</v>
      </c>
    </row>
    <row r="8" spans="1:6" x14ac:dyDescent="0.55000000000000004">
      <c r="D8" t="s">
        <v>125</v>
      </c>
    </row>
    <row r="9" spans="1:6" x14ac:dyDescent="0.55000000000000004">
      <c r="D9" t="s">
        <v>149</v>
      </c>
    </row>
    <row r="10" spans="1:6" x14ac:dyDescent="0.55000000000000004">
      <c r="D10" t="s">
        <v>150</v>
      </c>
    </row>
    <row r="11" spans="1:6" x14ac:dyDescent="0.55000000000000004">
      <c r="D11" t="s">
        <v>151</v>
      </c>
    </row>
    <row r="12" spans="1:6" x14ac:dyDescent="0.55000000000000004">
      <c r="D12" t="s">
        <v>192</v>
      </c>
    </row>
    <row r="13" spans="1:6" x14ac:dyDescent="0.55000000000000004">
      <c r="D13" t="s">
        <v>153</v>
      </c>
    </row>
    <row r="14" spans="1:6" x14ac:dyDescent="0.55000000000000004">
      <c r="D14" t="s">
        <v>155</v>
      </c>
    </row>
    <row r="15" spans="1:6" x14ac:dyDescent="0.55000000000000004">
      <c r="D15" t="s">
        <v>156</v>
      </c>
    </row>
    <row r="16" spans="1:6" x14ac:dyDescent="0.55000000000000004">
      <c r="D16" t="s">
        <v>241</v>
      </c>
    </row>
    <row r="17" spans="4:4" x14ac:dyDescent="0.55000000000000004">
      <c r="D17" t="s">
        <v>189</v>
      </c>
    </row>
    <row r="18" spans="4:4" x14ac:dyDescent="0.55000000000000004">
      <c r="D18" t="s">
        <v>242</v>
      </c>
    </row>
    <row r="19" spans="4:4" x14ac:dyDescent="0.55000000000000004">
      <c r="D19" t="s">
        <v>190</v>
      </c>
    </row>
    <row r="20" spans="4:4" x14ac:dyDescent="0.55000000000000004">
      <c r="D20" t="s">
        <v>193</v>
      </c>
    </row>
    <row r="21" spans="4:4" x14ac:dyDescent="0.55000000000000004">
      <c r="D21" t="s">
        <v>194</v>
      </c>
    </row>
    <row r="22" spans="4:4" x14ac:dyDescent="0.55000000000000004">
      <c r="D22" t="s">
        <v>220</v>
      </c>
    </row>
    <row r="23" spans="4:4" x14ac:dyDescent="0.55000000000000004">
      <c r="D23" t="s">
        <v>226</v>
      </c>
    </row>
    <row r="24" spans="4:4" x14ac:dyDescent="0.55000000000000004">
      <c r="D24" t="s">
        <v>227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11</vt:i4>
      </vt:variant>
    </vt:vector>
  </HeadingPairs>
  <TitlesOfParts>
    <vt:vector size="17" baseType="lpstr">
      <vt:lpstr>項目</vt:lpstr>
      <vt:lpstr>別名</vt:lpstr>
      <vt:lpstr>区分値</vt:lpstr>
      <vt:lpstr>タイプ</vt:lpstr>
      <vt:lpstr>設定</vt:lpstr>
      <vt:lpstr>WORK</vt:lpstr>
      <vt:lpstr>api_elements_path</vt:lpstr>
      <vt:lpstr>save_data_path</vt:lpstr>
      <vt:lpstr>table_elements_path</vt:lpstr>
      <vt:lpstr>types_ddl_path</vt:lpstr>
      <vt:lpstr>view_derive_elements_path</vt:lpstr>
      <vt:lpstr>view_elements_path</vt:lpstr>
      <vt:lpstr>view_segments_path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2024-01-18T11:19:08Z</dcterms:modified>
</cp:coreProperties>
</file>