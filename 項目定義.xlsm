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A13B4E9-D76D-4E19-A80E-7DFB96942CBC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25" i="3" l="1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Q2" i="3"/>
  <c r="Q3" i="3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P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C25" i="3"/>
  <c r="C33" i="3"/>
  <c r="C41" i="3"/>
  <c r="C49" i="3"/>
  <c r="C26" i="3"/>
  <c r="C34" i="3"/>
  <c r="C42" i="3"/>
  <c r="C50" i="3"/>
  <c r="C27" i="3"/>
  <c r="C35" i="3"/>
  <c r="C43" i="3"/>
  <c r="C51" i="3"/>
  <c r="C28" i="3"/>
  <c r="C36" i="3"/>
  <c r="C44" i="3"/>
  <c r="C52" i="3"/>
  <c r="C29" i="3"/>
  <c r="C37" i="3"/>
  <c r="C45" i="3"/>
  <c r="C53" i="3"/>
  <c r="C30" i="3"/>
  <c r="C38" i="3"/>
  <c r="C46" i="3"/>
  <c r="C54" i="3"/>
  <c r="C31" i="3"/>
  <c r="C39" i="3"/>
  <c r="C47" i="3"/>
  <c r="C32" i="3"/>
  <c r="C40" i="3"/>
  <c r="C48" i="3"/>
  <c r="D6" i="5"/>
  <c r="D14" i="5"/>
  <c r="D22" i="5"/>
  <c r="D30" i="5"/>
  <c r="D11" i="5"/>
  <c r="D27" i="5"/>
  <c r="D35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9" i="5"/>
  <c r="D12" i="5"/>
  <c r="D20" i="5"/>
  <c r="D28" i="5"/>
  <c r="D13" i="5"/>
  <c r="D21" i="5"/>
  <c r="D29" i="5"/>
  <c r="D2" i="5"/>
  <c r="D3" i="5"/>
  <c r="D4" i="5"/>
  <c r="D5" i="5"/>
  <c r="C5" i="3"/>
  <c r="C13" i="3"/>
  <c r="C21" i="3"/>
  <c r="C7" i="3"/>
  <c r="C15" i="3"/>
  <c r="C23" i="3"/>
  <c r="C12" i="3"/>
  <c r="C6" i="3"/>
  <c r="C14" i="3"/>
  <c r="C22" i="3"/>
  <c r="C8" i="3"/>
  <c r="C16" i="3"/>
  <c r="C24" i="3"/>
  <c r="C9" i="3"/>
  <c r="C17" i="3"/>
  <c r="C2" i="3"/>
  <c r="C10" i="3"/>
  <c r="C18" i="3"/>
  <c r="C3" i="3"/>
  <c r="C11" i="3"/>
  <c r="C19" i="3"/>
  <c r="C4" i="3"/>
  <c r="C20" i="3"/>
</calcChain>
</file>

<file path=xl/sharedStrings.xml><?xml version="1.0" encoding="utf-8"?>
<sst xmlns="http://schemas.openxmlformats.org/spreadsheetml/2006/main" count="360" uniqueCount="225">
  <si>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</si>
  <si>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</si>
  <si>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</si>
  <si>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</si>
  <si>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</si>
  <si>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</si>
  <si>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</si>
  <si>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</si>
  <si>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NO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</si>
  <si>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</si>
  <si>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</si>
  <si>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</si>
  <si>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</si>
  <si>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</si>
  <si>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</si>
  <si>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</si>
  <si>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</si>
  <si>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</si>
  <si>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</si>
  <si>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</si>
  <si>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</si>
  <si>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</si>
  <si>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</si>
  <si>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</si>
  <si>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</si>
  <si>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</si>
  <si>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</si>
  <si>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</si>
  <si>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</si>
  <si>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</si>
  <si>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</si>
  <si>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</si>
  <si>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</si>
  <si>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</si>
  <si>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</si>
  <si>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</si>
  <si>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</si>
  <si>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</si>
  <si>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</si>
  <si>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</si>
  <si>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</si>
  <si>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</si>
  <si>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</si>
  <si>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</si>
  <si>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</si>
  <si>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</si>
  <si>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</si>
  <si>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</si>
  <si>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</si>
  <si>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</si>
  <si>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</si>
  <si>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</si>
  <si>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</si>
  <si>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</si>
  <si>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</si>
  <si>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</si>
  <si>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</si>
  <si>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</si>
  <si>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</si>
  <si>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</si>
  <si>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</si>
  <si>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</si>
  <si>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</si>
  <si>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</si>
  <si>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</si>
  <si>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</si>
  <si>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</si>
  <si>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</si>
  <si>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</si>
  <si>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</si>
  <si>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</si>
  <si>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</si>
  <si>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</si>
  <si>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</si>
  <si>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</si>
  <si>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</si>
  <si>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</si>
  <si>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</si>
  <si>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</si>
  <si>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</si>
  <si>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</si>
  <si>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</si>
  <si>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</si>
  <si>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</si>
  <si>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</si>
  <si>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NO</t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</si>
  <si>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</si>
  <si>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</si>
  <si>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</si>
  <si>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</si>
  <si>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</si>
  <si>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</si>
  <si>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</si>
  <si>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</si>
  <si>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</si>
  <si>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</si>
  <si>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</si>
  <si>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</si>
  <si>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</si>
  <si>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</si>
  <si>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</si>
  <si>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</si>
  <si>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</si>
  <si>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</si>
  <si>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</si>
  <si>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</si>
  <si>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</si>
  <si>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</si>
  <si>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</si>
  <si>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</si>
  <si>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</si>
  <si>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区分値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</si>
  <si>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</si>
  <si>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</si>
  <si>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</si>
  <si>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</si>
  <si>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</si>
  <si>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</si>
  <si>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</si>
  <si>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</si>
  <si>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</si>
  <si>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</si>
  <si>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</si>
  <si>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</si>
  <si>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</si>
  <si>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</si>
  <si>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</si>
  <si>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</si>
  <si>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</si>
  <si>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</si>
  <si>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</si>
  <si>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</si>
  <si>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</si>
  <si>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</si>
  <si>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</si>
  <si>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</si>
  <si>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</si>
  <si>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</si>
  <si>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</si>
  <si>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</si>
  <si>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</si>
  <si>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</si>
  <si>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</si>
  <si>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</si>
  <si>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</si>
  <si>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</si>
  <si>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</si>
  <si>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</si>
  <si>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</si>
  <si>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</si>
  <si>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0001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</si>
  <si>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</si>
  <si>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</si>
  <si>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</si>
  <si>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</si>
  <si>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</si>
  <si>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</si>
  <si>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</si>
  <si>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</si>
  <si>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</si>
  <si>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</si>
  <si>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</si>
  <si>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</si>
  <si>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</si>
  <si>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</si>
  <si>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</si>
  <si>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</si>
  <si>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</si>
  <si>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</si>
  <si>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</si>
  <si>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</si>
  <si>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</si>
  <si>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</si>
  <si>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</si>
  <si>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</si>
  <si>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</si>
  <si>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</si>
  <si>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</si>
  <si>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</si>
  <si>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</si>
  <si>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</si>
  <si>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</si>
  <si>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customerId</t>
  </si>
  <si>
    <t>customerName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</si>
  <si>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</si>
  <si>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</si>
  <si>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</si>
  <si>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</si>
  <si>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</si>
  <si>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</si>
  <si>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</si>
  <si>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</si>
  <si>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</si>
  <si>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</si>
  <si>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</si>
  <si>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</si>
  <si>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</si>
  <si>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</si>
  <si>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</si>
  <si>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</si>
  <si>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</si>
  <si>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</si>
  <si>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</si>
  <si>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</si>
  <si>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</si>
  <si>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</si>
  <si>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</si>
  <si>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</si>
  <si>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</si>
  <si>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</si>
  <si>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</si>
  <si>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customerType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</si>
  <si>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</si>
  <si>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</si>
  <si>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</si>
  <si>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</si>
  <si>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</si>
  <si>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</si>
  <si>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</si>
  <si>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</si>
  <si>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</si>
  <si>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</si>
  <si>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</si>
  <si>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</si>
  <si>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^([0-1]?[0-9]|2[0-3]):[0-5][0-9]$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</si>
</sst>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&quot;(必須)&quot;;&quot;(不可)&quot;;&quot;(任意)&quot;;"/>
    <numFmt numFmtId="177" formatCode="&quot;利用可能&quot;"/>
    <numFmt numFmtId="178" formatCode="&quot;含&quot;;;;"/>
    <numFmt numFmtId="179" formatCode="0_;;;"/>
    <numFmt numFmtId="180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9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178" fontId="2" fillId="6" borderId="12" xfId="0" applyNumberFormat="1" applyFont="1" applyFill="1" applyBorder="1" applyAlignment="1">
      <alignment horizontal="center"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9" fontId="2" fillId="5" borderId="13" xfId="0" applyNumberFormat="1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178" fontId="2" fillId="6" borderId="15" xfId="0" applyNumberFormat="1" applyFont="1" applyFill="1" applyBorder="1" applyAlignment="1">
      <alignment horizontal="center" vertical="center"/>
    </xf>
    <xf numFmtId="179" fontId="2" fillId="5" borderId="15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1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178" fontId="2" fillId="0" borderId="12" xfId="0" applyNumberFormat="1" applyFont="1" applyFill="1" applyBorder="1" applyAlignment="1">
      <alignment horizontal="center" vertical="center"/>
    </xf>
    <xf numFmtId="178" fontId="2" fillId="0" borderId="13" xfId="0" applyNumberFormat="1" applyFont="1" applyFill="1" applyBorder="1" applyAlignment="1">
      <alignment horizontal="center"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80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180" fontId="2" fillId="0" borderId="15" xfId="0" applyNumberFormat="1" applyFont="1" applyFill="1" applyBorder="1">
      <alignment vertical="center"/>
    </xf>
    <xf numFmtId="49" fontId="2" fillId="0" borderId="15" xfId="0" applyNumberFormat="1" applyFont="1" applyFill="1" applyBorder="1">
      <alignment vertical="center"/>
    </xf>
  </cellXfs>
  <cellStyles count="1">
    <cellStyle name="標準" xfId="0" builtinId="0"/>
  </cellStyles>
  <dxfs count="37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Q1411"/>
  <sheetViews>
    <sheetView showGridLines="0" tabSelected="1" workbookViewId="0">
      <pane ySplit="1" topLeftCell="A12" activePane="bottomLeft" state="frozen"/>
      <selection activeCell="E5" sqref="E5"/>
      <selection pane="bottomLeft" activeCell="M27" sqref="M27"/>
    </sheetView>
  </sheetViews>
  <sheetFormatPr defaultRowHeight="13" x14ac:dyDescent="0.55000000000000004"/>
  <cols>
    <col min="1" max="2" width="8.6640625" style="23"/>
    <col min="3" max="3" width="12" style="23" customWidth="1"/>
    <col min="4" max="8" width="8.6640625" style="23"/>
    <col min="9" max="9" width="2.6640625" style="23" customWidth="1"/>
    <col min="10" max="10" width="8.6640625" style="23"/>
    <col min="11" max="11" width="2.6640625" style="23" customWidth="1"/>
    <col min="12" max="12" width="11.6640625" style="23" customWidth="1"/>
    <col min="13" max="13" width="19.58203125" style="23" customWidth="1"/>
    <col min="14" max="16384" width="8.6640625" style="23"/>
  </cols>
  <sheetData>
    <row r="1" spans="1:17" ht="26" x14ac:dyDescent="0.55000000000000004">
      <c r="A1" s="35" t="s">
        <v>70</v>
      </c>
      <c r="B1" s="19" t="s">
        <v>71</v>
      </c>
      <c r="C1" s="19" t="s">
        <v>72</v>
      </c>
      <c r="D1" s="19" t="s">
        <v>0</v>
      </c>
      <c r="E1" s="20" t="s">
        <v>1</v>
      </c>
      <c r="F1" s="20" t="s">
        <v>2</v>
      </c>
      <c r="G1" s="20" t="s">
        <v>3</v>
      </c>
      <c r="H1" s="42" t="s">
        <v>4</v>
      </c>
      <c r="I1" s="43"/>
      <c r="J1" s="42" t="s">
        <v>5</v>
      </c>
      <c r="K1" s="43"/>
      <c r="L1" s="19" t="s">
        <v>73</v>
      </c>
      <c r="M1" s="20" t="s">
        <v>6</v>
      </c>
      <c r="N1" s="19" t="s">
        <v>62</v>
      </c>
      <c r="O1" s="19" t="s">
        <v>62</v>
      </c>
      <c r="P1" s="21" t="s">
        <v>124</v>
      </c>
      <c r="Q1" s="22" t="s">
        <v>74</v>
      </c>
    </row>
    <row r="2" spans="1:17" ht="15" x14ac:dyDescent="0.55000000000000004">
      <c r="A2" s="44" t="s">
        <v>174</v>
      </c>
      <c r="B2" s="44" t="s">
        <v>178</v>
      </c>
      <c r="C2" s="26" t="str">
        <f t="shared" ref="C2:C33" si="0">camel2snake(B2)</f>
        <v>product_no</v>
      </c>
      <c r="D2" s="44" t="s">
        <v>85</v>
      </c>
      <c r="E2" s="33"/>
      <c r="F2" s="50">
        <v>9</v>
      </c>
      <c r="G2" s="50">
        <v>10</v>
      </c>
      <c r="H2" s="33"/>
      <c r="I2" s="34"/>
      <c r="J2" s="33"/>
      <c r="K2" s="34"/>
      <c r="L2" s="48" t="s">
        <v>90</v>
      </c>
      <c r="M2" s="44" t="s">
        <v>112</v>
      </c>
      <c r="N2" s="26" t="str">
        <f>IFERROR(VLOOKUP(D2,ドメインタイプDATA,6,FALSE)&amp;"","")</f>
        <v>string</v>
      </c>
      <c r="O2" s="26" t="str">
        <f>IFERROR(VLOOKUP(D2,ドメインタイプDATA,7,FALSE)&amp;"","")</f>
        <v/>
      </c>
      <c r="P2" s="32">
        <f ca="1">COUNTIF(派生元項目KEY,A2)</f>
        <v>0</v>
      </c>
      <c r="Q2" s="32">
        <f ca="1">COUNTIF(区分値項目KEY,A2)</f>
        <v>0</v>
      </c>
    </row>
    <row r="3" spans="1:17" ht="15" x14ac:dyDescent="0.55000000000000004">
      <c r="A3" s="44" t="s">
        <v>86</v>
      </c>
      <c r="B3" s="44" t="s">
        <v>88</v>
      </c>
      <c r="C3" s="26" t="str">
        <f t="shared" si="0"/>
        <v>price</v>
      </c>
      <c r="D3" s="44" t="s">
        <v>91</v>
      </c>
      <c r="E3" s="33"/>
      <c r="F3" s="33"/>
      <c r="G3" s="33"/>
      <c r="H3" s="50">
        <v>0</v>
      </c>
      <c r="I3" s="46">
        <v>1</v>
      </c>
      <c r="J3" s="50">
        <v>99999</v>
      </c>
      <c r="K3" s="46">
        <v>1</v>
      </c>
      <c r="L3" s="48" t="s">
        <v>94</v>
      </c>
      <c r="M3" s="44" t="s">
        <v>113</v>
      </c>
      <c r="N3" s="26" t="str">
        <f>IFERROR(VLOOKUP(D3,ドメインタイプDATA,6,FALSE)&amp;"","")</f>
        <v>integer</v>
      </c>
      <c r="O3" s="26" t="str">
        <f>IFERROR(VLOOKUP(D3,ドメインタイプDATA,7,FALSE)&amp;"","")</f>
        <v/>
      </c>
      <c r="P3" s="32">
        <f ca="1">COUNTIF(派生元項目KEY,A3)</f>
        <v>1</v>
      </c>
      <c r="Q3" s="32">
        <f ca="1">COUNTIF(区分値項目KEY,A3)</f>
        <v>0</v>
      </c>
    </row>
    <row r="4" spans="1:17" ht="15" x14ac:dyDescent="0.55000000000000004">
      <c r="A4" s="44" t="s">
        <v>87</v>
      </c>
      <c r="B4" s="44" t="s">
        <v>89</v>
      </c>
      <c r="C4" s="26" t="str">
        <f t="shared" si="0"/>
        <v>up</v>
      </c>
      <c r="D4" s="44" t="s">
        <v>93</v>
      </c>
      <c r="E4" s="33"/>
      <c r="F4" s="33"/>
      <c r="G4" s="33"/>
      <c r="H4" s="50">
        <v>0</v>
      </c>
      <c r="I4" s="46"/>
      <c r="J4" s="50">
        <v>1000</v>
      </c>
      <c r="K4" s="46">
        <v>1</v>
      </c>
      <c r="L4" s="48" t="s">
        <v>95</v>
      </c>
      <c r="M4" s="44" t="s">
        <v>114</v>
      </c>
      <c r="N4" s="26" t="str">
        <f>IFERROR(VLOOKUP(D4,ドメインタイプDATA,6,FALSE)&amp;"","")</f>
        <v>number</v>
      </c>
      <c r="O4" s="26" t="str">
        <f>IFERROR(VLOOKUP(D4,ドメインタイプDATA,7,FALSE)&amp;"","")</f>
        <v/>
      </c>
      <c r="P4" s="32">
        <f ca="1">COUNTIF(派生元項目KEY,A4)</f>
        <v>0</v>
      </c>
      <c r="Q4" s="32">
        <f ca="1">COUNTIF(区分値項目KEY,A4)</f>
        <v>0</v>
      </c>
    </row>
    <row r="5" spans="1:17" ht="15" x14ac:dyDescent="0.55000000000000004">
      <c r="A5" s="44" t="s">
        <v>96</v>
      </c>
      <c r="B5" s="44" t="s">
        <v>209</v>
      </c>
      <c r="C5" s="26" t="str">
        <f t="shared" si="0"/>
        <v>registration_date</v>
      </c>
      <c r="D5" s="44" t="s">
        <v>92</v>
      </c>
      <c r="E5" s="33"/>
      <c r="F5" s="33"/>
      <c r="G5" s="33"/>
      <c r="H5" s="33"/>
      <c r="I5" s="34"/>
      <c r="J5" s="33"/>
      <c r="K5" s="34"/>
      <c r="L5" s="48" t="s">
        <v>97</v>
      </c>
      <c r="M5" s="44" t="s">
        <v>96</v>
      </c>
      <c r="N5" s="26" t="str">
        <f>IFERROR(VLOOKUP(D5,ドメインタイプDATA,6,FALSE)&amp;"","")</f>
        <v>string</v>
      </c>
      <c r="O5" s="26" t="str">
        <f>IFERROR(VLOOKUP(D5,ドメインタイプDATA,7,FALSE)&amp;"","")</f>
        <v>date</v>
      </c>
      <c r="P5" s="32">
        <f ca="1">COUNTIF(派生元項目KEY,A5)</f>
        <v>0</v>
      </c>
      <c r="Q5" s="32">
        <f ca="1">COUNTIF(区分値項目KEY,A5)</f>
        <v>0</v>
      </c>
    </row>
    <row r="6" spans="1:17" ht="15" x14ac:dyDescent="0.55000000000000004">
      <c r="A6" s="44" t="s">
        <v>100</v>
      </c>
      <c r="B6" s="44" t="s">
        <v>101</v>
      </c>
      <c r="C6" s="26" t="str">
        <f t="shared" si="0"/>
        <v>product_kbn</v>
      </c>
      <c r="D6" s="44" t="s">
        <v>111</v>
      </c>
      <c r="E6" s="33"/>
      <c r="F6" s="50"/>
      <c r="G6" s="44"/>
      <c r="H6" s="33"/>
      <c r="I6" s="34"/>
      <c r="J6" s="33"/>
      <c r="K6" s="34"/>
      <c r="L6" s="48" t="s">
        <v>131</v>
      </c>
      <c r="M6" s="44" t="s">
        <v>102</v>
      </c>
      <c r="N6" s="26" t="str">
        <f>IFERROR(VLOOKUP(D6,ドメインタイプDATA,6,FALSE)&amp;"","")</f>
        <v>string</v>
      </c>
      <c r="O6" s="26" t="str">
        <f>IFERROR(VLOOKUP(D6,ドメインタイプDATA,7,FALSE)&amp;"","")</f>
        <v/>
      </c>
      <c r="P6" s="32">
        <f ca="1">COUNTIF(派生元項目KEY,A6)</f>
        <v>0</v>
      </c>
      <c r="Q6" s="32">
        <f ca="1">COUNTIF(区分値項目KEY,A6)</f>
        <v>4</v>
      </c>
    </row>
    <row r="7" spans="1:17" ht="15" x14ac:dyDescent="0.55000000000000004">
      <c r="A7" s="44" t="s">
        <v>116</v>
      </c>
      <c r="B7" s="44" t="s">
        <v>118</v>
      </c>
      <c r="C7" s="26" t="str">
        <f t="shared" si="0"/>
        <v>comment</v>
      </c>
      <c r="D7" s="44" t="s">
        <v>117</v>
      </c>
      <c r="E7" s="48"/>
      <c r="F7" s="50">
        <v>10</v>
      </c>
      <c r="G7" s="33"/>
      <c r="H7" s="33"/>
      <c r="I7" s="34"/>
      <c r="J7" s="33"/>
      <c r="K7" s="34"/>
      <c r="L7" s="48" t="s">
        <v>119</v>
      </c>
      <c r="M7" s="44" t="s">
        <v>116</v>
      </c>
      <c r="N7" s="26" t="str">
        <f>IFERROR(VLOOKUP(D7,ドメインタイプDATA,6,FALSE)&amp;"","")</f>
        <v>string</v>
      </c>
      <c r="O7" s="26" t="str">
        <f>IFERROR(VLOOKUP(D7,ドメインタイプDATA,7,FALSE)&amp;"","")</f>
        <v/>
      </c>
      <c r="P7" s="32">
        <f ca="1">COUNTIF(派生元項目KEY,A7)</f>
        <v>0</v>
      </c>
      <c r="Q7" s="32">
        <f ca="1">COUNTIF(区分値項目KEY,A7)</f>
        <v>0</v>
      </c>
    </row>
    <row r="8" spans="1:17" ht="15" x14ac:dyDescent="0.55000000000000004">
      <c r="A8" s="44" t="s">
        <v>120</v>
      </c>
      <c r="B8" s="44" t="s">
        <v>126</v>
      </c>
      <c r="C8" s="26" t="str">
        <f t="shared" si="0"/>
        <v>can_update</v>
      </c>
      <c r="D8" s="44" t="s">
        <v>121</v>
      </c>
      <c r="E8" s="33"/>
      <c r="F8" s="33"/>
      <c r="G8" s="33"/>
      <c r="H8" s="33"/>
      <c r="I8" s="34"/>
      <c r="J8" s="33"/>
      <c r="K8" s="34"/>
      <c r="L8" s="48" t="s">
        <v>122</v>
      </c>
      <c r="M8" s="44" t="s">
        <v>123</v>
      </c>
      <c r="N8" s="26" t="str">
        <f>IFERROR(VLOOKUP(D8,ドメインタイプDATA,6,FALSE)&amp;"","")</f>
        <v>boolean</v>
      </c>
      <c r="O8" s="26" t="str">
        <f>IFERROR(VLOOKUP(D8,ドメインタイプDATA,7,FALSE)&amp;"","")</f>
        <v/>
      </c>
      <c r="P8" s="32">
        <f ca="1">COUNTIF(派生元項目KEY,A8)</f>
        <v>0</v>
      </c>
      <c r="Q8" s="32">
        <f ca="1">COUNTIF(区分値項目KEY,A8)</f>
        <v>0</v>
      </c>
    </row>
    <row r="9" spans="1:17" ht="15" x14ac:dyDescent="0.55000000000000004">
      <c r="A9" s="44" t="s">
        <v>132</v>
      </c>
      <c r="B9" s="44" t="s">
        <v>198</v>
      </c>
      <c r="C9" s="26" t="str">
        <f t="shared" si="0"/>
        <v>department</v>
      </c>
      <c r="D9" s="44" t="s">
        <v>111</v>
      </c>
      <c r="E9" s="33"/>
      <c r="F9" s="50"/>
      <c r="G9" s="44"/>
      <c r="H9" s="33"/>
      <c r="I9" s="34"/>
      <c r="J9" s="33"/>
      <c r="K9" s="34"/>
      <c r="L9" s="48" t="s">
        <v>160</v>
      </c>
      <c r="M9" s="44" t="s">
        <v>132</v>
      </c>
      <c r="N9" s="26" t="str">
        <f>IFERROR(VLOOKUP(D9,ドメインタイプDATA,6,FALSE)&amp;"","")</f>
        <v>string</v>
      </c>
      <c r="O9" s="26" t="str">
        <f>IFERROR(VLOOKUP(D9,ドメインタイプDATA,7,FALSE)&amp;"","")</f>
        <v/>
      </c>
      <c r="P9" s="32">
        <f ca="1">COUNTIF(派生元項目KEY,A9)</f>
        <v>1</v>
      </c>
      <c r="Q9" s="32">
        <f ca="1">COUNTIF(区分値項目KEY,A9)</f>
        <v>5</v>
      </c>
    </row>
    <row r="10" spans="1:17" ht="15" x14ac:dyDescent="0.55000000000000004">
      <c r="A10" s="44" t="s">
        <v>133</v>
      </c>
      <c r="B10" s="44" t="s">
        <v>140</v>
      </c>
      <c r="C10" s="26" t="str">
        <f t="shared" si="0"/>
        <v>order_date</v>
      </c>
      <c r="D10" s="44" t="s">
        <v>92</v>
      </c>
      <c r="E10" s="33"/>
      <c r="F10" s="33"/>
      <c r="G10" s="33"/>
      <c r="H10" s="33"/>
      <c r="I10" s="34"/>
      <c r="J10" s="33"/>
      <c r="K10" s="34"/>
      <c r="L10" s="48" t="s">
        <v>97</v>
      </c>
      <c r="M10" s="44" t="s">
        <v>133</v>
      </c>
      <c r="N10" s="26" t="str">
        <f>IFERROR(VLOOKUP(D10,ドメインタイプDATA,6,FALSE)&amp;"","")</f>
        <v>string</v>
      </c>
      <c r="O10" s="26" t="str">
        <f>IFERROR(VLOOKUP(D10,ドメインタイプDATA,7,FALSE)&amp;"","")</f>
        <v>date</v>
      </c>
      <c r="P10" s="32">
        <f ca="1">COUNTIF(派生元項目KEY,A10)</f>
        <v>0</v>
      </c>
      <c r="Q10" s="32">
        <f ca="1">COUNTIF(区分値項目KEY,A10)</f>
        <v>0</v>
      </c>
    </row>
    <row r="11" spans="1:17" ht="15" x14ac:dyDescent="0.55000000000000004">
      <c r="A11" s="44" t="s">
        <v>134</v>
      </c>
      <c r="B11" s="44" t="s">
        <v>141</v>
      </c>
      <c r="C11" s="26" t="str">
        <f t="shared" si="0"/>
        <v>quantity</v>
      </c>
      <c r="D11" s="44" t="s">
        <v>91</v>
      </c>
      <c r="E11" s="33"/>
      <c r="F11" s="33"/>
      <c r="G11" s="33"/>
      <c r="H11" s="50">
        <v>0</v>
      </c>
      <c r="I11" s="46">
        <v>1</v>
      </c>
      <c r="J11" s="50">
        <v>99999</v>
      </c>
      <c r="K11" s="46">
        <v>1</v>
      </c>
      <c r="L11" s="48" t="s">
        <v>144</v>
      </c>
      <c r="M11" s="44" t="s">
        <v>134</v>
      </c>
      <c r="N11" s="26" t="str">
        <f>IFERROR(VLOOKUP(D11,ドメインタイプDATA,6,FALSE)&amp;"","")</f>
        <v>integer</v>
      </c>
      <c r="O11" s="26" t="str">
        <f>IFERROR(VLOOKUP(D11,ドメインタイプDATA,7,FALSE)&amp;"","")</f>
        <v/>
      </c>
      <c r="P11" s="32">
        <f ca="1">COUNTIF(派生元項目KEY,A11)</f>
        <v>0</v>
      </c>
      <c r="Q11" s="32">
        <f ca="1">COUNTIF(区分値項目KEY,A11)</f>
        <v>0</v>
      </c>
    </row>
    <row r="12" spans="1:17" ht="15" x14ac:dyDescent="0.55000000000000004">
      <c r="A12" s="44" t="s">
        <v>175</v>
      </c>
      <c r="B12" s="44" t="s">
        <v>179</v>
      </c>
      <c r="C12" s="26" t="str">
        <f t="shared" si="0"/>
        <v>received_order_no</v>
      </c>
      <c r="D12" s="44" t="s">
        <v>85</v>
      </c>
      <c r="E12" s="33"/>
      <c r="F12" s="50">
        <v>10</v>
      </c>
      <c r="G12" s="50">
        <v>10</v>
      </c>
      <c r="H12" s="33"/>
      <c r="I12" s="34"/>
      <c r="J12" s="33"/>
      <c r="K12" s="34"/>
      <c r="L12" s="48" t="s">
        <v>145</v>
      </c>
      <c r="M12" s="44" t="s">
        <v>135</v>
      </c>
      <c r="N12" s="26" t="str">
        <f>IFERROR(VLOOKUP(D12,ドメインタイプDATA,6,FALSE)&amp;"","")</f>
        <v>string</v>
      </c>
      <c r="O12" s="26" t="str">
        <f>IFERROR(VLOOKUP(D12,ドメインタイプDATA,7,FALSE)&amp;"","")</f>
        <v/>
      </c>
      <c r="P12" s="32">
        <f ca="1">COUNTIF(派生元項目KEY,A12)</f>
        <v>0</v>
      </c>
      <c r="Q12" s="32">
        <f ca="1">COUNTIF(区分値項目KEY,A12)</f>
        <v>0</v>
      </c>
    </row>
    <row r="13" spans="1:17" ht="15" x14ac:dyDescent="0.55000000000000004">
      <c r="A13" s="44" t="s">
        <v>136</v>
      </c>
      <c r="B13" s="44" t="s">
        <v>142</v>
      </c>
      <c r="C13" s="26" t="str">
        <f t="shared" si="0"/>
        <v>order_detail_no</v>
      </c>
      <c r="D13" s="44" t="s">
        <v>137</v>
      </c>
      <c r="E13" s="33"/>
      <c r="F13" s="33"/>
      <c r="G13" s="33"/>
      <c r="H13" s="33"/>
      <c r="I13" s="34"/>
      <c r="J13" s="33"/>
      <c r="K13" s="34"/>
      <c r="L13" s="48" t="s">
        <v>146</v>
      </c>
      <c r="M13" s="44" t="s">
        <v>187</v>
      </c>
      <c r="N13" s="26" t="str">
        <f>IFERROR(VLOOKUP(D13,ドメインタイプDATA,6,FALSE)&amp;"","")</f>
        <v>integer</v>
      </c>
      <c r="O13" s="26" t="str">
        <f>IFERROR(VLOOKUP(D13,ドメインタイプDATA,7,FALSE)&amp;"","")</f>
        <v/>
      </c>
      <c r="P13" s="32">
        <f ca="1">COUNTIF(派生元項目KEY,A13)</f>
        <v>0</v>
      </c>
      <c r="Q13" s="32">
        <f ca="1">COUNTIF(区分値項目KEY,A13)</f>
        <v>0</v>
      </c>
    </row>
    <row r="14" spans="1:17" ht="15" x14ac:dyDescent="0.55000000000000004">
      <c r="A14" s="44" t="s">
        <v>138</v>
      </c>
      <c r="B14" s="44" t="s">
        <v>180</v>
      </c>
      <c r="C14" s="26" t="str">
        <f t="shared" si="0"/>
        <v>person_in_charge</v>
      </c>
      <c r="D14" s="44" t="s">
        <v>147</v>
      </c>
      <c r="E14" s="48"/>
      <c r="F14" s="50"/>
      <c r="G14" s="50">
        <v>30</v>
      </c>
      <c r="H14" s="33"/>
      <c r="I14" s="34"/>
      <c r="J14" s="33"/>
      <c r="K14" s="34"/>
      <c r="L14" s="48" t="s">
        <v>148</v>
      </c>
      <c r="M14" s="44" t="s">
        <v>149</v>
      </c>
      <c r="N14" s="26" t="str">
        <f>IFERROR(VLOOKUP(D14,ドメインタイプDATA,6,FALSE)&amp;"","")</f>
        <v>string</v>
      </c>
      <c r="O14" s="26" t="str">
        <f>IFERROR(VLOOKUP(D14,ドメインタイプDATA,7,FALSE)&amp;"","")</f>
        <v/>
      </c>
      <c r="P14" s="32">
        <f ca="1">COUNTIF(派生元項目KEY,A14)</f>
        <v>0</v>
      </c>
      <c r="Q14" s="32">
        <f ca="1">COUNTIF(区分値項目KEY,A14)</f>
        <v>0</v>
      </c>
    </row>
    <row r="15" spans="1:17" ht="15" x14ac:dyDescent="0.55000000000000004">
      <c r="A15" s="44" t="s">
        <v>139</v>
      </c>
      <c r="B15" s="44" t="s">
        <v>143</v>
      </c>
      <c r="C15" s="26" t="str">
        <f t="shared" si="0"/>
        <v>user_id</v>
      </c>
      <c r="D15" s="44" t="s">
        <v>85</v>
      </c>
      <c r="E15" s="33"/>
      <c r="F15" s="50">
        <v>4</v>
      </c>
      <c r="G15" s="50">
        <v>4</v>
      </c>
      <c r="H15" s="33"/>
      <c r="I15" s="34"/>
      <c r="J15" s="33"/>
      <c r="K15" s="34"/>
      <c r="L15" s="48" t="s">
        <v>150</v>
      </c>
      <c r="M15" s="44" t="s">
        <v>151</v>
      </c>
      <c r="N15" s="26" t="str">
        <f>IFERROR(VLOOKUP(D15,ドメインタイプDATA,6,FALSE)&amp;"","")</f>
        <v>string</v>
      </c>
      <c r="O15" s="26" t="str">
        <f>IFERROR(VLOOKUP(D15,ドメインタイプDATA,7,FALSE)&amp;"","")</f>
        <v/>
      </c>
      <c r="P15" s="32">
        <f ca="1">COUNTIF(派生元項目KEY,A15)</f>
        <v>2</v>
      </c>
      <c r="Q15" s="32">
        <f ca="1">COUNTIF(区分値項目KEY,A15)</f>
        <v>0</v>
      </c>
    </row>
    <row r="16" spans="1:17" ht="15" x14ac:dyDescent="0.55000000000000004">
      <c r="A16" s="44" t="s">
        <v>222</v>
      </c>
      <c r="B16" s="44" t="s">
        <v>181</v>
      </c>
      <c r="C16" s="26" t="str">
        <f t="shared" si="0"/>
        <v>product_name</v>
      </c>
      <c r="D16" s="44" t="s">
        <v>147</v>
      </c>
      <c r="E16" s="48"/>
      <c r="F16" s="50"/>
      <c r="G16" s="50">
        <v>100</v>
      </c>
      <c r="H16" s="33"/>
      <c r="I16" s="34"/>
      <c r="J16" s="33"/>
      <c r="K16" s="34"/>
      <c r="L16" s="48" t="s">
        <v>188</v>
      </c>
      <c r="M16" s="44" t="s">
        <v>189</v>
      </c>
      <c r="N16" s="26" t="str">
        <f>IFERROR(VLOOKUP(D16,ドメインタイプDATA,6,FALSE)&amp;"","")</f>
        <v>string</v>
      </c>
      <c r="O16" s="26" t="str">
        <f>IFERROR(VLOOKUP(D16,ドメインタイプDATA,7,FALSE)&amp;"","")</f>
        <v/>
      </c>
      <c r="P16" s="32">
        <f ca="1">COUNTIF(派生元項目KEY,A16)</f>
        <v>0</v>
      </c>
      <c r="Q16" s="32">
        <f ca="1">COUNTIF(区分値項目KEY,A16)</f>
        <v>0</v>
      </c>
    </row>
    <row r="17" spans="1:17" ht="15" x14ac:dyDescent="0.55000000000000004">
      <c r="A17" s="44" t="s">
        <v>172</v>
      </c>
      <c r="B17" s="44" t="s">
        <v>182</v>
      </c>
      <c r="C17" s="26" t="str">
        <f t="shared" si="0"/>
        <v>customer_id</v>
      </c>
      <c r="D17" s="44" t="s">
        <v>85</v>
      </c>
      <c r="E17" s="33"/>
      <c r="F17" s="50">
        <v>3</v>
      </c>
      <c r="G17" s="50">
        <v>3</v>
      </c>
      <c r="H17" s="33"/>
      <c r="I17" s="34"/>
      <c r="J17" s="33"/>
      <c r="K17" s="34"/>
      <c r="L17" s="48" t="s">
        <v>190</v>
      </c>
      <c r="M17" s="44" t="s">
        <v>191</v>
      </c>
      <c r="N17" s="26" t="str">
        <f>IFERROR(VLOOKUP(D17,ドメインタイプDATA,6,FALSE)&amp;"","")</f>
        <v>string</v>
      </c>
      <c r="O17" s="26" t="str">
        <f>IFERROR(VLOOKUP(D17,ドメインタイプDATA,7,FALSE)&amp;"","")</f>
        <v/>
      </c>
      <c r="P17" s="32">
        <f ca="1">COUNTIF(派生元項目KEY,A17)</f>
        <v>0</v>
      </c>
      <c r="Q17" s="32">
        <f ca="1">COUNTIF(区分値項目KEY,A17)</f>
        <v>0</v>
      </c>
    </row>
    <row r="18" spans="1:17" ht="15" x14ac:dyDescent="0.55000000000000004">
      <c r="A18" s="44" t="s">
        <v>223</v>
      </c>
      <c r="B18" s="44" t="s">
        <v>183</v>
      </c>
      <c r="C18" s="26" t="str">
        <f t="shared" si="0"/>
        <v>customer_name</v>
      </c>
      <c r="D18" s="44" t="s">
        <v>147</v>
      </c>
      <c r="E18" s="48"/>
      <c r="F18" s="50"/>
      <c r="G18" s="50">
        <v>100</v>
      </c>
      <c r="H18" s="33"/>
      <c r="I18" s="34"/>
      <c r="J18" s="33"/>
      <c r="K18" s="34"/>
      <c r="L18" s="48" t="s">
        <v>192</v>
      </c>
      <c r="M18" s="44" t="s">
        <v>193</v>
      </c>
      <c r="N18" s="26" t="str">
        <f>IFERROR(VLOOKUP(D18,ドメインタイプDATA,6,FALSE)&amp;"","")</f>
        <v>string</v>
      </c>
      <c r="O18" s="26" t="str">
        <f>IFERROR(VLOOKUP(D18,ドメインタイプDATA,7,FALSE)&amp;"","")</f>
        <v/>
      </c>
      <c r="P18" s="32">
        <f ca="1">COUNTIF(派生元項目KEY,A18)</f>
        <v>0</v>
      </c>
      <c r="Q18" s="32">
        <f ca="1">COUNTIF(区分値項目KEY,A18)</f>
        <v>0</v>
      </c>
    </row>
    <row r="19" spans="1:17" ht="15" x14ac:dyDescent="0.55000000000000004">
      <c r="A19" s="44" t="s">
        <v>173</v>
      </c>
      <c r="B19" s="44" t="s">
        <v>184</v>
      </c>
      <c r="C19" s="26" t="str">
        <f t="shared" si="0"/>
        <v>is_working</v>
      </c>
      <c r="D19" s="44" t="s">
        <v>121</v>
      </c>
      <c r="E19" s="33"/>
      <c r="F19" s="33"/>
      <c r="G19" s="33"/>
      <c r="H19" s="33"/>
      <c r="I19" s="34"/>
      <c r="J19" s="33"/>
      <c r="K19" s="34"/>
      <c r="L19" s="48" t="s">
        <v>194</v>
      </c>
      <c r="M19" s="44" t="s">
        <v>195</v>
      </c>
      <c r="N19" s="26" t="str">
        <f>IFERROR(VLOOKUP(D19,ドメインタイプDATA,6,FALSE)&amp;"","")</f>
        <v>boolean</v>
      </c>
      <c r="O19" s="26" t="str">
        <f>IFERROR(VLOOKUP(D19,ドメインタイプDATA,7,FALSE)&amp;"","")</f>
        <v/>
      </c>
      <c r="P19" s="32">
        <f ca="1">COUNTIF(派生元項目KEY,A19)</f>
        <v>0</v>
      </c>
      <c r="Q19" s="32">
        <f ca="1">COUNTIF(区分値項目KEY,A19)</f>
        <v>0</v>
      </c>
    </row>
    <row r="20" spans="1:17" ht="15" x14ac:dyDescent="0.55000000000000004">
      <c r="A20" s="44" t="s">
        <v>176</v>
      </c>
      <c r="B20" s="44" t="s">
        <v>185</v>
      </c>
      <c r="C20" s="26" t="str">
        <f t="shared" si="0"/>
        <v>profit_rate</v>
      </c>
      <c r="D20" s="44" t="s">
        <v>93</v>
      </c>
      <c r="E20" s="33"/>
      <c r="F20" s="33"/>
      <c r="G20" s="33"/>
      <c r="H20" s="50">
        <v>-10</v>
      </c>
      <c r="I20" s="46">
        <v>1</v>
      </c>
      <c r="J20" s="50">
        <v>10</v>
      </c>
      <c r="K20" s="46">
        <v>1</v>
      </c>
      <c r="L20" s="48" t="s">
        <v>196</v>
      </c>
      <c r="M20" s="44" t="s">
        <v>176</v>
      </c>
      <c r="N20" s="26" t="str">
        <f>IFERROR(VLOOKUP(D20,ドメインタイプDATA,6,FALSE)&amp;"","")</f>
        <v>number</v>
      </c>
      <c r="O20" s="26" t="str">
        <f>IFERROR(VLOOKUP(D20,ドメインタイプDATA,7,FALSE)&amp;"","")</f>
        <v/>
      </c>
      <c r="P20" s="32">
        <f ca="1">COUNTIF(派生元項目KEY,A20)</f>
        <v>0</v>
      </c>
      <c r="Q20" s="32">
        <f ca="1">COUNTIF(区分値項目KEY,A20)</f>
        <v>0</v>
      </c>
    </row>
    <row r="21" spans="1:17" ht="15" x14ac:dyDescent="0.55000000000000004">
      <c r="A21" s="44" t="s">
        <v>177</v>
      </c>
      <c r="B21" s="44" t="s">
        <v>186</v>
      </c>
      <c r="C21" s="26" t="str">
        <f t="shared" si="0"/>
        <v>exclude_report</v>
      </c>
      <c r="D21" s="44" t="s">
        <v>121</v>
      </c>
      <c r="E21" s="33"/>
      <c r="F21" s="33"/>
      <c r="G21" s="33"/>
      <c r="H21" s="33"/>
      <c r="I21" s="34"/>
      <c r="J21" s="33"/>
      <c r="K21" s="34"/>
      <c r="L21" s="48" t="s">
        <v>194</v>
      </c>
      <c r="M21" s="44" t="s">
        <v>197</v>
      </c>
      <c r="N21" s="26" t="str">
        <f>IFERROR(VLOOKUP(D21,ドメインタイプDATA,6,FALSE)&amp;"","")</f>
        <v>boolean</v>
      </c>
      <c r="O21" s="26" t="str">
        <f>IFERROR(VLOOKUP(D21,ドメインタイプDATA,7,FALSE)&amp;"","")</f>
        <v/>
      </c>
      <c r="P21" s="32">
        <f ca="1">COUNTIF(派生元項目KEY,A21)</f>
        <v>0</v>
      </c>
      <c r="Q21" s="32">
        <f ca="1">COUNTIF(区分値項目KEY,A21)</f>
        <v>0</v>
      </c>
    </row>
    <row r="22" spans="1:17" ht="15" x14ac:dyDescent="0.55000000000000004">
      <c r="A22" s="44" t="s">
        <v>202</v>
      </c>
      <c r="B22" s="44" t="s">
        <v>206</v>
      </c>
      <c r="C22" s="26" t="str">
        <f t="shared" si="0"/>
        <v>shipping_time</v>
      </c>
      <c r="D22" s="44" t="s">
        <v>203</v>
      </c>
      <c r="E22" s="48" t="s">
        <v>224</v>
      </c>
      <c r="F22" s="33"/>
      <c r="G22" s="33"/>
      <c r="H22" s="33"/>
      <c r="I22" s="34"/>
      <c r="J22" s="33"/>
      <c r="K22" s="34"/>
      <c r="L22" s="48" t="s">
        <v>204</v>
      </c>
      <c r="M22" s="44" t="s">
        <v>205</v>
      </c>
      <c r="N22" s="26" t="str">
        <f>IFERROR(VLOOKUP(D22,ドメインタイプDATA,6,FALSE)&amp;"","")</f>
        <v>string</v>
      </c>
      <c r="O22" s="26" t="str">
        <f>IFERROR(VLOOKUP(D22,ドメインタイプDATA,7,FALSE)&amp;"","")</f>
        <v/>
      </c>
      <c r="P22" s="32">
        <f ca="1">COUNTIF(派生元項目KEY,A22)</f>
        <v>0</v>
      </c>
      <c r="Q22" s="32">
        <f ca="1">COUNTIF(区分値項目KEY,A22)</f>
        <v>0</v>
      </c>
    </row>
    <row r="23" spans="1:17" ht="15" x14ac:dyDescent="0.55000000000000004">
      <c r="A23" s="44" t="s">
        <v>207</v>
      </c>
      <c r="B23" s="44" t="s">
        <v>210</v>
      </c>
      <c r="C23" s="26" t="str">
        <f t="shared" si="0"/>
        <v>is_active_customer</v>
      </c>
      <c r="D23" s="44" t="s">
        <v>121</v>
      </c>
      <c r="E23" s="33"/>
      <c r="F23" s="33"/>
      <c r="G23" s="33"/>
      <c r="H23" s="33"/>
      <c r="I23" s="34"/>
      <c r="J23" s="33"/>
      <c r="K23" s="34"/>
      <c r="L23" s="48" t="s">
        <v>194</v>
      </c>
      <c r="M23" s="44" t="s">
        <v>212</v>
      </c>
      <c r="N23" s="26" t="str">
        <f>IFERROR(VLOOKUP(D23,ドメインタイプDATA,6,FALSE)&amp;"","")</f>
        <v>boolean</v>
      </c>
      <c r="O23" s="26" t="str">
        <f>IFERROR(VLOOKUP(D23,ドメインタイプDATA,7,FALSE)&amp;"","")</f>
        <v/>
      </c>
      <c r="P23" s="32">
        <f ca="1">COUNTIF(派生元項目KEY,A23)</f>
        <v>0</v>
      </c>
      <c r="Q23" s="32">
        <f ca="1">COUNTIF(区分値項目KEY,A23)</f>
        <v>0</v>
      </c>
    </row>
    <row r="24" spans="1:17" ht="15" x14ac:dyDescent="0.55000000000000004">
      <c r="A24" s="51" t="s">
        <v>208</v>
      </c>
      <c r="B24" s="51" t="s">
        <v>211</v>
      </c>
      <c r="C24" s="38" t="str">
        <f t="shared" si="0"/>
        <v>customer_type</v>
      </c>
      <c r="D24" s="51" t="s">
        <v>111</v>
      </c>
      <c r="E24" s="39"/>
      <c r="F24" s="52"/>
      <c r="G24" s="51"/>
      <c r="H24" s="39"/>
      <c r="I24" s="40"/>
      <c r="J24" s="39"/>
      <c r="K24" s="40"/>
      <c r="L24" s="53" t="s">
        <v>213</v>
      </c>
      <c r="M24" s="51" t="s">
        <v>214</v>
      </c>
      <c r="N24" s="38" t="str">
        <f>IFERROR(VLOOKUP(D24,ドメインタイプDATA,6,FALSE)&amp;"","")</f>
        <v>string</v>
      </c>
      <c r="O24" s="38" t="str">
        <f>IFERROR(VLOOKUP(D24,ドメインタイプDATA,7,FALSE)&amp;"","")</f>
        <v/>
      </c>
      <c r="P24" s="41">
        <f ca="1">COUNTIF(派生元項目KEY,A24)</f>
        <v>0</v>
      </c>
      <c r="Q24" s="41">
        <f ca="1">COUNTIF(区分値項目KEY,A24)</f>
        <v>4</v>
      </c>
    </row>
    <row r="25" spans="1:17" ht="15" x14ac:dyDescent="0.55000000000000004">
      <c r="A25" s="44"/>
      <c r="B25" s="44"/>
      <c r="C25" s="26" t="str">
        <f t="shared" ref="C25:C54" si="1">camel2snake(B25)</f>
        <v/>
      </c>
      <c r="D25" s="44"/>
      <c r="E25" s="44"/>
      <c r="F25" s="44"/>
      <c r="G25" s="44"/>
      <c r="H25" s="44"/>
      <c r="I25" s="46"/>
      <c r="J25" s="44"/>
      <c r="K25" s="46"/>
      <c r="L25" s="48"/>
      <c r="M25" s="44"/>
      <c r="N25" s="26" t="str">
        <f>IFERROR(VLOOKUP(D25,ドメインタイプDATA,6,FALSE)&amp;"","")</f>
        <v/>
      </c>
      <c r="O25" s="26" t="str">
        <f>IFERROR(VLOOKUP(D25,ドメインタイプDATA,7,FALSE)&amp;"","")</f>
        <v/>
      </c>
      <c r="P25" s="32">
        <f ca="1">COUNTIF(派生元項目KEY,A25)</f>
        <v>0</v>
      </c>
      <c r="Q25" s="32">
        <f ca="1">COUNTIF(区分値項目KEY,A25)</f>
        <v>0</v>
      </c>
    </row>
    <row r="26" spans="1:17" ht="15" x14ac:dyDescent="0.55000000000000004">
      <c r="A26" s="44"/>
      <c r="B26" s="44"/>
      <c r="C26" s="26" t="str">
        <f t="shared" si="1"/>
        <v/>
      </c>
      <c r="D26" s="44"/>
      <c r="E26" s="44"/>
      <c r="F26" s="44"/>
      <c r="G26" s="44"/>
      <c r="H26" s="44"/>
      <c r="I26" s="46"/>
      <c r="J26" s="44"/>
      <c r="K26" s="46"/>
      <c r="L26" s="48"/>
      <c r="M26" s="44"/>
      <c r="N26" s="26" t="str">
        <f>IFERROR(VLOOKUP(D26,ドメインタイプDATA,6,FALSE)&amp;"","")</f>
        <v/>
      </c>
      <c r="O26" s="26" t="str">
        <f>IFERROR(VLOOKUP(D26,ドメインタイプDATA,7,FALSE)&amp;"","")</f>
        <v/>
      </c>
      <c r="P26" s="32">
        <f ca="1">COUNTIF(派生元項目KEY,A26)</f>
        <v>0</v>
      </c>
      <c r="Q26" s="32">
        <f ca="1">COUNTIF(区分値項目KEY,A26)</f>
        <v>0</v>
      </c>
    </row>
    <row r="27" spans="1:17" ht="15" x14ac:dyDescent="0.55000000000000004">
      <c r="A27" s="44"/>
      <c r="B27" s="44"/>
      <c r="C27" s="26" t="str">
        <f t="shared" si="1"/>
        <v/>
      </c>
      <c r="D27" s="44"/>
      <c r="E27" s="44"/>
      <c r="F27" s="44"/>
      <c r="G27" s="44"/>
      <c r="H27" s="44"/>
      <c r="I27" s="46"/>
      <c r="J27" s="44"/>
      <c r="K27" s="46"/>
      <c r="L27" s="48"/>
      <c r="M27" s="44"/>
      <c r="N27" s="26" t="str">
        <f>IFERROR(VLOOKUP(D27,ドメインタイプDATA,6,FALSE)&amp;"","")</f>
        <v/>
      </c>
      <c r="O27" s="26" t="str">
        <f>IFERROR(VLOOKUP(D27,ドメインタイプDATA,7,FALSE)&amp;"","")</f>
        <v/>
      </c>
      <c r="P27" s="32">
        <f ca="1">COUNTIF(派生元項目KEY,A27)</f>
        <v>0</v>
      </c>
      <c r="Q27" s="32">
        <f ca="1">COUNTIF(区分値項目KEY,A27)</f>
        <v>0</v>
      </c>
    </row>
    <row r="28" spans="1:17" ht="15" x14ac:dyDescent="0.55000000000000004">
      <c r="A28" s="44"/>
      <c r="B28" s="44"/>
      <c r="C28" s="26" t="str">
        <f t="shared" si="1"/>
        <v/>
      </c>
      <c r="D28" s="44"/>
      <c r="E28" s="44"/>
      <c r="F28" s="44"/>
      <c r="G28" s="44"/>
      <c r="H28" s="44"/>
      <c r="I28" s="46"/>
      <c r="J28" s="44"/>
      <c r="K28" s="46"/>
      <c r="L28" s="48"/>
      <c r="M28" s="44"/>
      <c r="N28" s="26" t="str">
        <f>IFERROR(VLOOKUP(D28,ドメインタイプDATA,6,FALSE)&amp;"","")</f>
        <v/>
      </c>
      <c r="O28" s="26" t="str">
        <f>IFERROR(VLOOKUP(D28,ドメインタイプDATA,7,FALSE)&amp;"","")</f>
        <v/>
      </c>
      <c r="P28" s="32">
        <f ca="1">COUNTIF(派生元項目KEY,A28)</f>
        <v>0</v>
      </c>
      <c r="Q28" s="32">
        <f ca="1">COUNTIF(区分値項目KEY,A28)</f>
        <v>0</v>
      </c>
    </row>
    <row r="29" spans="1:17" ht="15" x14ac:dyDescent="0.55000000000000004">
      <c r="A29" s="44"/>
      <c r="B29" s="44"/>
      <c r="C29" s="26" t="str">
        <f t="shared" si="1"/>
        <v/>
      </c>
      <c r="D29" s="44"/>
      <c r="E29" s="44"/>
      <c r="F29" s="44"/>
      <c r="G29" s="44"/>
      <c r="H29" s="44"/>
      <c r="I29" s="46"/>
      <c r="J29" s="44"/>
      <c r="K29" s="46"/>
      <c r="L29" s="48"/>
      <c r="M29" s="44"/>
      <c r="N29" s="26" t="str">
        <f>IFERROR(VLOOKUP(D29,ドメインタイプDATA,6,FALSE)&amp;"","")</f>
        <v/>
      </c>
      <c r="O29" s="26" t="str">
        <f>IFERROR(VLOOKUP(D29,ドメインタイプDATA,7,FALSE)&amp;"","")</f>
        <v/>
      </c>
      <c r="P29" s="32">
        <f ca="1">COUNTIF(派生元項目KEY,A29)</f>
        <v>0</v>
      </c>
      <c r="Q29" s="32">
        <f ca="1">COUNTIF(区分値項目KEY,A29)</f>
        <v>0</v>
      </c>
    </row>
    <row r="30" spans="1:17" ht="15" x14ac:dyDescent="0.55000000000000004">
      <c r="A30" s="44"/>
      <c r="B30" s="44"/>
      <c r="C30" s="26" t="str">
        <f t="shared" si="1"/>
        <v/>
      </c>
      <c r="D30" s="44"/>
      <c r="E30" s="44"/>
      <c r="F30" s="44"/>
      <c r="G30" s="44"/>
      <c r="H30" s="44"/>
      <c r="I30" s="46"/>
      <c r="J30" s="44"/>
      <c r="K30" s="46"/>
      <c r="L30" s="48"/>
      <c r="M30" s="44"/>
      <c r="N30" s="26" t="str">
        <f>IFERROR(VLOOKUP(D30,ドメインタイプDATA,6,FALSE)&amp;"","")</f>
        <v/>
      </c>
      <c r="O30" s="26" t="str">
        <f>IFERROR(VLOOKUP(D30,ドメインタイプDATA,7,FALSE)&amp;"","")</f>
        <v/>
      </c>
      <c r="P30" s="32">
        <f ca="1">COUNTIF(派生元項目KEY,A30)</f>
        <v>0</v>
      </c>
      <c r="Q30" s="32">
        <f ca="1">COUNTIF(区分値項目KEY,A30)</f>
        <v>0</v>
      </c>
    </row>
    <row r="31" spans="1:17" ht="15" x14ac:dyDescent="0.55000000000000004">
      <c r="A31" s="44"/>
      <c r="B31" s="44"/>
      <c r="C31" s="26" t="str">
        <f t="shared" si="1"/>
        <v/>
      </c>
      <c r="D31" s="44"/>
      <c r="E31" s="44"/>
      <c r="F31" s="44"/>
      <c r="G31" s="44"/>
      <c r="H31" s="44"/>
      <c r="I31" s="46"/>
      <c r="J31" s="44"/>
      <c r="K31" s="46"/>
      <c r="L31" s="48"/>
      <c r="M31" s="44"/>
      <c r="N31" s="26" t="str">
        <f>IFERROR(VLOOKUP(D31,ドメインタイプDATA,6,FALSE)&amp;"","")</f>
        <v/>
      </c>
      <c r="O31" s="26" t="str">
        <f>IFERROR(VLOOKUP(D31,ドメインタイプDATA,7,FALSE)&amp;"","")</f>
        <v/>
      </c>
      <c r="P31" s="32">
        <f ca="1">COUNTIF(派生元項目KEY,A31)</f>
        <v>0</v>
      </c>
      <c r="Q31" s="32">
        <f ca="1">COUNTIF(区分値項目KEY,A31)</f>
        <v>0</v>
      </c>
    </row>
    <row r="32" spans="1:17" ht="15" x14ac:dyDescent="0.55000000000000004">
      <c r="A32" s="44"/>
      <c r="B32" s="44"/>
      <c r="C32" s="26" t="str">
        <f t="shared" si="1"/>
        <v/>
      </c>
      <c r="D32" s="44"/>
      <c r="E32" s="44"/>
      <c r="F32" s="44"/>
      <c r="G32" s="44"/>
      <c r="H32" s="44"/>
      <c r="I32" s="46"/>
      <c r="J32" s="44"/>
      <c r="K32" s="46"/>
      <c r="L32" s="48"/>
      <c r="M32" s="44"/>
      <c r="N32" s="26" t="str">
        <f>IFERROR(VLOOKUP(D32,ドメインタイプDATA,6,FALSE)&amp;"","")</f>
        <v/>
      </c>
      <c r="O32" s="26" t="str">
        <f>IFERROR(VLOOKUP(D32,ドメインタイプDATA,7,FALSE)&amp;"","")</f>
        <v/>
      </c>
      <c r="P32" s="32">
        <f ca="1">COUNTIF(派生元項目KEY,A32)</f>
        <v>0</v>
      </c>
      <c r="Q32" s="32">
        <f ca="1">COUNTIF(区分値項目KEY,A32)</f>
        <v>0</v>
      </c>
    </row>
    <row r="33" spans="1:17" ht="15" x14ac:dyDescent="0.55000000000000004">
      <c r="A33" s="44"/>
      <c r="B33" s="44"/>
      <c r="C33" s="26" t="str">
        <f t="shared" si="1"/>
        <v/>
      </c>
      <c r="D33" s="44"/>
      <c r="E33" s="44"/>
      <c r="F33" s="44"/>
      <c r="G33" s="44"/>
      <c r="H33" s="44"/>
      <c r="I33" s="46"/>
      <c r="J33" s="44"/>
      <c r="K33" s="46"/>
      <c r="L33" s="48"/>
      <c r="M33" s="44"/>
      <c r="N33" s="26" t="str">
        <f>IFERROR(VLOOKUP(D33,ドメインタイプDATA,6,FALSE)&amp;"","")</f>
        <v/>
      </c>
      <c r="O33" s="26" t="str">
        <f>IFERROR(VLOOKUP(D33,ドメインタイプDATA,7,FALSE)&amp;"","")</f>
        <v/>
      </c>
      <c r="P33" s="32">
        <f ca="1">COUNTIF(派生元項目KEY,A33)</f>
        <v>0</v>
      </c>
      <c r="Q33" s="32">
        <f ca="1">COUNTIF(区分値項目KEY,A33)</f>
        <v>0</v>
      </c>
    </row>
    <row r="34" spans="1:17" ht="15" x14ac:dyDescent="0.55000000000000004">
      <c r="A34" s="44"/>
      <c r="B34" s="44"/>
      <c r="C34" s="26" t="str">
        <f t="shared" si="1"/>
        <v/>
      </c>
      <c r="D34" s="44"/>
      <c r="E34" s="44"/>
      <c r="F34" s="44"/>
      <c r="G34" s="44"/>
      <c r="H34" s="44"/>
      <c r="I34" s="46"/>
      <c r="J34" s="44"/>
      <c r="K34" s="46"/>
      <c r="L34" s="48"/>
      <c r="M34" s="44"/>
      <c r="N34" s="26" t="str">
        <f>IFERROR(VLOOKUP(D34,ドメインタイプDATA,6,FALSE)&amp;"","")</f>
        <v/>
      </c>
      <c r="O34" s="26" t="str">
        <f>IFERROR(VLOOKUP(D34,ドメインタイプDATA,7,FALSE)&amp;"","")</f>
        <v/>
      </c>
      <c r="P34" s="32">
        <f ca="1">COUNTIF(派生元項目KEY,A34)</f>
        <v>0</v>
      </c>
      <c r="Q34" s="32">
        <f ca="1">COUNTIF(区分値項目KEY,A34)</f>
        <v>0</v>
      </c>
    </row>
    <row r="35" spans="1:17" ht="15" x14ac:dyDescent="0.55000000000000004">
      <c r="A35" s="44"/>
      <c r="B35" s="44"/>
      <c r="C35" s="26" t="str">
        <f t="shared" si="1"/>
        <v/>
      </c>
      <c r="D35" s="44"/>
      <c r="E35" s="44"/>
      <c r="F35" s="44"/>
      <c r="G35" s="44"/>
      <c r="H35" s="44"/>
      <c r="I35" s="46"/>
      <c r="J35" s="44"/>
      <c r="K35" s="46"/>
      <c r="L35" s="48"/>
      <c r="M35" s="44"/>
      <c r="N35" s="26" t="str">
        <f>IFERROR(VLOOKUP(D35,ドメインタイプDATA,6,FALSE)&amp;"","")</f>
        <v/>
      </c>
      <c r="O35" s="26" t="str">
        <f>IFERROR(VLOOKUP(D35,ドメインタイプDATA,7,FALSE)&amp;"","")</f>
        <v/>
      </c>
      <c r="P35" s="32">
        <f ca="1">COUNTIF(派生元項目KEY,A35)</f>
        <v>0</v>
      </c>
      <c r="Q35" s="32">
        <f ca="1">COUNTIF(区分値項目KEY,A35)</f>
        <v>0</v>
      </c>
    </row>
    <row r="36" spans="1:17" ht="15" x14ac:dyDescent="0.55000000000000004">
      <c r="A36" s="44"/>
      <c r="B36" s="44"/>
      <c r="C36" s="26" t="str">
        <f t="shared" si="1"/>
        <v/>
      </c>
      <c r="D36" s="44"/>
      <c r="E36" s="44"/>
      <c r="F36" s="44"/>
      <c r="G36" s="44"/>
      <c r="H36" s="44"/>
      <c r="I36" s="46"/>
      <c r="J36" s="44"/>
      <c r="K36" s="46"/>
      <c r="L36" s="48"/>
      <c r="M36" s="44"/>
      <c r="N36" s="26" t="str">
        <f>IFERROR(VLOOKUP(D36,ドメインタイプDATA,6,FALSE)&amp;"","")</f>
        <v/>
      </c>
      <c r="O36" s="26" t="str">
        <f>IFERROR(VLOOKUP(D36,ドメインタイプDATA,7,FALSE)&amp;"","")</f>
        <v/>
      </c>
      <c r="P36" s="32">
        <f ca="1">COUNTIF(派生元項目KEY,A36)</f>
        <v>0</v>
      </c>
      <c r="Q36" s="32">
        <f ca="1">COUNTIF(区分値項目KEY,A36)</f>
        <v>0</v>
      </c>
    </row>
    <row r="37" spans="1:17" ht="15" x14ac:dyDescent="0.55000000000000004">
      <c r="A37" s="44"/>
      <c r="B37" s="44"/>
      <c r="C37" s="26" t="str">
        <f t="shared" si="1"/>
        <v/>
      </c>
      <c r="D37" s="44"/>
      <c r="E37" s="44"/>
      <c r="F37" s="44"/>
      <c r="G37" s="44"/>
      <c r="H37" s="44"/>
      <c r="I37" s="46"/>
      <c r="J37" s="44"/>
      <c r="K37" s="46"/>
      <c r="L37" s="48"/>
      <c r="M37" s="44"/>
      <c r="N37" s="26" t="str">
        <f>IFERROR(VLOOKUP(D37,ドメインタイプDATA,6,FALSE)&amp;"","")</f>
        <v/>
      </c>
      <c r="O37" s="26" t="str">
        <f>IFERROR(VLOOKUP(D37,ドメインタイプDATA,7,FALSE)&amp;"","")</f>
        <v/>
      </c>
      <c r="P37" s="32">
        <f ca="1">COUNTIF(派生元項目KEY,A37)</f>
        <v>0</v>
      </c>
      <c r="Q37" s="32">
        <f ca="1">COUNTIF(区分値項目KEY,A37)</f>
        <v>0</v>
      </c>
    </row>
    <row r="38" spans="1:17" ht="15" x14ac:dyDescent="0.55000000000000004">
      <c r="A38" s="44"/>
      <c r="B38" s="44"/>
      <c r="C38" s="26" t="str">
        <f t="shared" si="1"/>
        <v/>
      </c>
      <c r="D38" s="44"/>
      <c r="E38" s="44"/>
      <c r="F38" s="44"/>
      <c r="G38" s="44"/>
      <c r="H38" s="44"/>
      <c r="I38" s="46"/>
      <c r="J38" s="44"/>
      <c r="K38" s="46"/>
      <c r="L38" s="48"/>
      <c r="M38" s="44"/>
      <c r="N38" s="26" t="str">
        <f>IFERROR(VLOOKUP(D38,ドメインタイプDATA,6,FALSE)&amp;"","")</f>
        <v/>
      </c>
      <c r="O38" s="26" t="str">
        <f>IFERROR(VLOOKUP(D38,ドメインタイプDATA,7,FALSE)&amp;"","")</f>
        <v/>
      </c>
      <c r="P38" s="32">
        <f ca="1">COUNTIF(派生元項目KEY,A38)</f>
        <v>0</v>
      </c>
      <c r="Q38" s="32">
        <f ca="1">COUNTIF(区分値項目KEY,A38)</f>
        <v>0</v>
      </c>
    </row>
    <row r="39" spans="1:17" ht="15" x14ac:dyDescent="0.55000000000000004">
      <c r="A39" s="44"/>
      <c r="B39" s="44"/>
      <c r="C39" s="26" t="str">
        <f t="shared" si="1"/>
        <v/>
      </c>
      <c r="D39" s="44"/>
      <c r="E39" s="44"/>
      <c r="F39" s="44"/>
      <c r="G39" s="44"/>
      <c r="H39" s="44"/>
      <c r="I39" s="46"/>
      <c r="J39" s="44"/>
      <c r="K39" s="46"/>
      <c r="L39" s="48"/>
      <c r="M39" s="44"/>
      <c r="N39" s="26" t="str">
        <f>IFERROR(VLOOKUP(D39,ドメインタイプDATA,6,FALSE)&amp;"","")</f>
        <v/>
      </c>
      <c r="O39" s="26" t="str">
        <f>IFERROR(VLOOKUP(D39,ドメインタイプDATA,7,FALSE)&amp;"","")</f>
        <v/>
      </c>
      <c r="P39" s="32">
        <f ca="1">COUNTIF(派生元項目KEY,A39)</f>
        <v>0</v>
      </c>
      <c r="Q39" s="32">
        <f ca="1">COUNTIF(区分値項目KEY,A39)</f>
        <v>0</v>
      </c>
    </row>
    <row r="40" spans="1:17" ht="15" x14ac:dyDescent="0.55000000000000004">
      <c r="A40" s="44"/>
      <c r="B40" s="44"/>
      <c r="C40" s="26" t="str">
        <f t="shared" si="1"/>
        <v/>
      </c>
      <c r="D40" s="44"/>
      <c r="E40" s="44"/>
      <c r="F40" s="44"/>
      <c r="G40" s="44"/>
      <c r="H40" s="44"/>
      <c r="I40" s="46"/>
      <c r="J40" s="44"/>
      <c r="K40" s="46"/>
      <c r="L40" s="48"/>
      <c r="M40" s="44"/>
      <c r="N40" s="26" t="str">
        <f>IFERROR(VLOOKUP(D40,ドメインタイプDATA,6,FALSE)&amp;"","")</f>
        <v/>
      </c>
      <c r="O40" s="26" t="str">
        <f>IFERROR(VLOOKUP(D40,ドメインタイプDATA,7,FALSE)&amp;"","")</f>
        <v/>
      </c>
      <c r="P40" s="32">
        <f ca="1">COUNTIF(派生元項目KEY,A40)</f>
        <v>0</v>
      </c>
      <c r="Q40" s="32">
        <f ca="1">COUNTIF(区分値項目KEY,A40)</f>
        <v>0</v>
      </c>
    </row>
    <row r="41" spans="1:17" ht="15" x14ac:dyDescent="0.55000000000000004">
      <c r="A41" s="44"/>
      <c r="B41" s="44"/>
      <c r="C41" s="26" t="str">
        <f t="shared" si="1"/>
        <v/>
      </c>
      <c r="D41" s="44"/>
      <c r="E41" s="44"/>
      <c r="F41" s="44"/>
      <c r="G41" s="44"/>
      <c r="H41" s="44"/>
      <c r="I41" s="46"/>
      <c r="J41" s="44"/>
      <c r="K41" s="46"/>
      <c r="L41" s="48"/>
      <c r="M41" s="44"/>
      <c r="N41" s="26" t="str">
        <f>IFERROR(VLOOKUP(D41,ドメインタイプDATA,6,FALSE)&amp;"","")</f>
        <v/>
      </c>
      <c r="O41" s="26" t="str">
        <f>IFERROR(VLOOKUP(D41,ドメインタイプDATA,7,FALSE)&amp;"","")</f>
        <v/>
      </c>
      <c r="P41" s="32">
        <f ca="1">COUNTIF(派生元項目KEY,A41)</f>
        <v>0</v>
      </c>
      <c r="Q41" s="32">
        <f ca="1">COUNTIF(区分値項目KEY,A41)</f>
        <v>0</v>
      </c>
    </row>
    <row r="42" spans="1:17" ht="15" x14ac:dyDescent="0.55000000000000004">
      <c r="A42" s="44"/>
      <c r="B42" s="44"/>
      <c r="C42" s="26" t="str">
        <f t="shared" si="1"/>
        <v/>
      </c>
      <c r="D42" s="44"/>
      <c r="E42" s="44"/>
      <c r="F42" s="44"/>
      <c r="G42" s="44"/>
      <c r="H42" s="44"/>
      <c r="I42" s="46"/>
      <c r="J42" s="44"/>
      <c r="K42" s="46"/>
      <c r="L42" s="48"/>
      <c r="M42" s="44"/>
      <c r="N42" s="26" t="str">
        <f>IFERROR(VLOOKUP(D42,ドメインタイプDATA,6,FALSE)&amp;"","")</f>
        <v/>
      </c>
      <c r="O42" s="26" t="str">
        <f>IFERROR(VLOOKUP(D42,ドメインタイプDATA,7,FALSE)&amp;"","")</f>
        <v/>
      </c>
      <c r="P42" s="32">
        <f ca="1">COUNTIF(派生元項目KEY,A42)</f>
        <v>0</v>
      </c>
      <c r="Q42" s="32">
        <f ca="1">COUNTIF(区分値項目KEY,A42)</f>
        <v>0</v>
      </c>
    </row>
    <row r="43" spans="1:17" ht="15" x14ac:dyDescent="0.55000000000000004">
      <c r="A43" s="44"/>
      <c r="B43" s="44"/>
      <c r="C43" s="26" t="str">
        <f t="shared" si="1"/>
        <v/>
      </c>
      <c r="D43" s="44"/>
      <c r="E43" s="44"/>
      <c r="F43" s="44"/>
      <c r="G43" s="44"/>
      <c r="H43" s="44"/>
      <c r="I43" s="46"/>
      <c r="J43" s="44"/>
      <c r="K43" s="46"/>
      <c r="L43" s="48"/>
      <c r="M43" s="44"/>
      <c r="N43" s="26" t="str">
        <f>IFERROR(VLOOKUP(D43,ドメインタイプDATA,6,FALSE)&amp;"","")</f>
        <v/>
      </c>
      <c r="O43" s="26" t="str">
        <f>IFERROR(VLOOKUP(D43,ドメインタイプDATA,7,FALSE)&amp;"","")</f>
        <v/>
      </c>
      <c r="P43" s="32">
        <f ca="1">COUNTIF(派生元項目KEY,A43)</f>
        <v>0</v>
      </c>
      <c r="Q43" s="32">
        <f ca="1">COUNTIF(区分値項目KEY,A43)</f>
        <v>0</v>
      </c>
    </row>
    <row r="44" spans="1:17" ht="15" x14ac:dyDescent="0.55000000000000004">
      <c r="A44" s="44"/>
      <c r="B44" s="44"/>
      <c r="C44" s="26" t="str">
        <f t="shared" si="1"/>
        <v/>
      </c>
      <c r="D44" s="44"/>
      <c r="E44" s="44"/>
      <c r="F44" s="44"/>
      <c r="G44" s="44"/>
      <c r="H44" s="44"/>
      <c r="I44" s="46"/>
      <c r="J44" s="44"/>
      <c r="K44" s="46"/>
      <c r="L44" s="48"/>
      <c r="M44" s="44"/>
      <c r="N44" s="26" t="str">
        <f>IFERROR(VLOOKUP(D44,ドメインタイプDATA,6,FALSE)&amp;"","")</f>
        <v/>
      </c>
      <c r="O44" s="26" t="str">
        <f>IFERROR(VLOOKUP(D44,ドメインタイプDATA,7,FALSE)&amp;"","")</f>
        <v/>
      </c>
      <c r="P44" s="32">
        <f ca="1">COUNTIF(派生元項目KEY,A44)</f>
        <v>0</v>
      </c>
      <c r="Q44" s="32">
        <f ca="1">COUNTIF(区分値項目KEY,A44)</f>
        <v>0</v>
      </c>
    </row>
    <row r="45" spans="1:17" ht="15" x14ac:dyDescent="0.55000000000000004">
      <c r="A45" s="44"/>
      <c r="B45" s="44"/>
      <c r="C45" s="26" t="str">
        <f t="shared" si="1"/>
        <v/>
      </c>
      <c r="D45" s="44"/>
      <c r="E45" s="44"/>
      <c r="F45" s="44"/>
      <c r="G45" s="44"/>
      <c r="H45" s="44"/>
      <c r="I45" s="46"/>
      <c r="J45" s="44"/>
      <c r="K45" s="46"/>
      <c r="L45" s="48"/>
      <c r="M45" s="44"/>
      <c r="N45" s="26" t="str">
        <f>IFERROR(VLOOKUP(D45,ドメインタイプDATA,6,FALSE)&amp;"","")</f>
        <v/>
      </c>
      <c r="O45" s="26" t="str">
        <f>IFERROR(VLOOKUP(D45,ドメインタイプDATA,7,FALSE)&amp;"","")</f>
        <v/>
      </c>
      <c r="P45" s="32">
        <f ca="1">COUNTIF(派生元項目KEY,A45)</f>
        <v>0</v>
      </c>
      <c r="Q45" s="32">
        <f ca="1">COUNTIF(区分値項目KEY,A45)</f>
        <v>0</v>
      </c>
    </row>
    <row r="46" spans="1:17" ht="15" x14ac:dyDescent="0.55000000000000004">
      <c r="A46" s="44"/>
      <c r="B46" s="44"/>
      <c r="C46" s="26" t="str">
        <f t="shared" si="1"/>
        <v/>
      </c>
      <c r="D46" s="44"/>
      <c r="E46" s="44"/>
      <c r="F46" s="44"/>
      <c r="G46" s="44"/>
      <c r="H46" s="44"/>
      <c r="I46" s="46"/>
      <c r="J46" s="44"/>
      <c r="K46" s="46"/>
      <c r="L46" s="48"/>
      <c r="M46" s="44"/>
      <c r="N46" s="26" t="str">
        <f>IFERROR(VLOOKUP(D46,ドメインタイプDATA,6,FALSE)&amp;"","")</f>
        <v/>
      </c>
      <c r="O46" s="26" t="str">
        <f>IFERROR(VLOOKUP(D46,ドメインタイプDATA,7,FALSE)&amp;"","")</f>
        <v/>
      </c>
      <c r="P46" s="32">
        <f ca="1">COUNTIF(派生元項目KEY,A46)</f>
        <v>0</v>
      </c>
      <c r="Q46" s="32">
        <f ca="1">COUNTIF(区分値項目KEY,A46)</f>
        <v>0</v>
      </c>
    </row>
    <row r="47" spans="1:17" ht="15" x14ac:dyDescent="0.55000000000000004">
      <c r="A47" s="44"/>
      <c r="B47" s="44"/>
      <c r="C47" s="26" t="str">
        <f t="shared" si="1"/>
        <v/>
      </c>
      <c r="D47" s="44"/>
      <c r="E47" s="44"/>
      <c r="F47" s="44"/>
      <c r="G47" s="44"/>
      <c r="H47" s="44"/>
      <c r="I47" s="46"/>
      <c r="J47" s="44"/>
      <c r="K47" s="46"/>
      <c r="L47" s="48"/>
      <c r="M47" s="44"/>
      <c r="N47" s="26" t="str">
        <f>IFERROR(VLOOKUP(D47,ドメインタイプDATA,6,FALSE)&amp;"","")</f>
        <v/>
      </c>
      <c r="O47" s="26" t="str">
        <f>IFERROR(VLOOKUP(D47,ドメインタイプDATA,7,FALSE)&amp;"","")</f>
        <v/>
      </c>
      <c r="P47" s="32">
        <f ca="1">COUNTIF(派生元項目KEY,A47)</f>
        <v>0</v>
      </c>
      <c r="Q47" s="32">
        <f ca="1">COUNTIF(区分値項目KEY,A47)</f>
        <v>0</v>
      </c>
    </row>
    <row r="48" spans="1:17" ht="15" x14ac:dyDescent="0.55000000000000004">
      <c r="A48" s="44"/>
      <c r="B48" s="44"/>
      <c r="C48" s="26" t="str">
        <f t="shared" si="1"/>
        <v/>
      </c>
      <c r="D48" s="44"/>
      <c r="E48" s="44"/>
      <c r="F48" s="44"/>
      <c r="G48" s="44"/>
      <c r="H48" s="44"/>
      <c r="I48" s="46"/>
      <c r="J48" s="44"/>
      <c r="K48" s="46"/>
      <c r="L48" s="48"/>
      <c r="M48" s="44"/>
      <c r="N48" s="26" t="str">
        <f>IFERROR(VLOOKUP(D48,ドメインタイプDATA,6,FALSE)&amp;"","")</f>
        <v/>
      </c>
      <c r="O48" s="26" t="str">
        <f>IFERROR(VLOOKUP(D48,ドメインタイプDATA,7,FALSE)&amp;"","")</f>
        <v/>
      </c>
      <c r="P48" s="32">
        <f ca="1">COUNTIF(派生元項目KEY,A48)</f>
        <v>0</v>
      </c>
      <c r="Q48" s="32">
        <f ca="1">COUNTIF(区分値項目KEY,A48)</f>
        <v>0</v>
      </c>
    </row>
    <row r="49" spans="1:17" ht="15" x14ac:dyDescent="0.55000000000000004">
      <c r="A49" s="44"/>
      <c r="B49" s="44"/>
      <c r="C49" s="26" t="str">
        <f t="shared" si="1"/>
        <v/>
      </c>
      <c r="D49" s="44"/>
      <c r="E49" s="44"/>
      <c r="F49" s="44"/>
      <c r="G49" s="44"/>
      <c r="H49" s="44"/>
      <c r="I49" s="46"/>
      <c r="J49" s="44"/>
      <c r="K49" s="46"/>
      <c r="L49" s="48"/>
      <c r="M49" s="44"/>
      <c r="N49" s="26" t="str">
        <f>IFERROR(VLOOKUP(D49,ドメインタイプDATA,6,FALSE)&amp;"","")</f>
        <v/>
      </c>
      <c r="O49" s="26" t="str">
        <f>IFERROR(VLOOKUP(D49,ドメインタイプDATA,7,FALSE)&amp;"","")</f>
        <v/>
      </c>
      <c r="P49" s="32">
        <f ca="1">COUNTIF(派生元項目KEY,A49)</f>
        <v>0</v>
      </c>
      <c r="Q49" s="32">
        <f ca="1">COUNTIF(区分値項目KEY,A49)</f>
        <v>0</v>
      </c>
    </row>
    <row r="50" spans="1:17" ht="15" x14ac:dyDescent="0.55000000000000004">
      <c r="A50" s="44"/>
      <c r="B50" s="44"/>
      <c r="C50" s="26" t="str">
        <f t="shared" si="1"/>
        <v/>
      </c>
      <c r="D50" s="44"/>
      <c r="E50" s="44"/>
      <c r="F50" s="44"/>
      <c r="G50" s="44"/>
      <c r="H50" s="44"/>
      <c r="I50" s="46"/>
      <c r="J50" s="44"/>
      <c r="K50" s="46"/>
      <c r="L50" s="48"/>
      <c r="M50" s="44"/>
      <c r="N50" s="26" t="str">
        <f>IFERROR(VLOOKUP(D50,ドメインタイプDATA,6,FALSE)&amp;"","")</f>
        <v/>
      </c>
      <c r="O50" s="26" t="str">
        <f>IFERROR(VLOOKUP(D50,ドメインタイプDATA,7,FALSE)&amp;"","")</f>
        <v/>
      </c>
      <c r="P50" s="32">
        <f ca="1">COUNTIF(派生元項目KEY,A50)</f>
        <v>0</v>
      </c>
      <c r="Q50" s="32">
        <f ca="1">COUNTIF(区分値項目KEY,A50)</f>
        <v>0</v>
      </c>
    </row>
    <row r="51" spans="1:17" ht="15" x14ac:dyDescent="0.55000000000000004">
      <c r="A51" s="44"/>
      <c r="B51" s="44"/>
      <c r="C51" s="26" t="str">
        <f t="shared" si="1"/>
        <v/>
      </c>
      <c r="D51" s="44"/>
      <c r="E51" s="44"/>
      <c r="F51" s="44"/>
      <c r="G51" s="44"/>
      <c r="H51" s="44"/>
      <c r="I51" s="46"/>
      <c r="J51" s="44"/>
      <c r="K51" s="46"/>
      <c r="L51" s="48"/>
      <c r="M51" s="44"/>
      <c r="N51" s="26" t="str">
        <f>IFERROR(VLOOKUP(D51,ドメインタイプDATA,6,FALSE)&amp;"","")</f>
        <v/>
      </c>
      <c r="O51" s="26" t="str">
        <f>IFERROR(VLOOKUP(D51,ドメインタイプDATA,7,FALSE)&amp;"","")</f>
        <v/>
      </c>
      <c r="P51" s="32">
        <f ca="1">COUNTIF(派生元項目KEY,A51)</f>
        <v>0</v>
      </c>
      <c r="Q51" s="32">
        <f ca="1">COUNTIF(区分値項目KEY,A51)</f>
        <v>0</v>
      </c>
    </row>
    <row r="52" spans="1:17" ht="15" x14ac:dyDescent="0.55000000000000004">
      <c r="A52" s="44"/>
      <c r="B52" s="44"/>
      <c r="C52" s="26" t="str">
        <f t="shared" si="1"/>
        <v/>
      </c>
      <c r="D52" s="44"/>
      <c r="E52" s="44"/>
      <c r="F52" s="44"/>
      <c r="G52" s="44"/>
      <c r="H52" s="44"/>
      <c r="I52" s="46"/>
      <c r="J52" s="44"/>
      <c r="K52" s="46"/>
      <c r="L52" s="48"/>
      <c r="M52" s="44"/>
      <c r="N52" s="26" t="str">
        <f>IFERROR(VLOOKUP(D52,ドメインタイプDATA,6,FALSE)&amp;"","")</f>
        <v/>
      </c>
      <c r="O52" s="26" t="str">
        <f>IFERROR(VLOOKUP(D52,ドメインタイプDATA,7,FALSE)&amp;"","")</f>
        <v/>
      </c>
      <c r="P52" s="32">
        <f ca="1">COUNTIF(派生元項目KEY,A52)</f>
        <v>0</v>
      </c>
      <c r="Q52" s="32">
        <f ca="1">COUNTIF(区分値項目KEY,A52)</f>
        <v>0</v>
      </c>
    </row>
    <row r="53" spans="1:17" ht="15" x14ac:dyDescent="0.55000000000000004">
      <c r="A53" s="44"/>
      <c r="B53" s="44"/>
      <c r="C53" s="26" t="str">
        <f t="shared" si="1"/>
        <v/>
      </c>
      <c r="D53" s="44"/>
      <c r="E53" s="44"/>
      <c r="F53" s="44"/>
      <c r="G53" s="44"/>
      <c r="H53" s="44"/>
      <c r="I53" s="46"/>
      <c r="J53" s="44"/>
      <c r="K53" s="46"/>
      <c r="L53" s="48"/>
      <c r="M53" s="44"/>
      <c r="N53" s="26" t="str">
        <f>IFERROR(VLOOKUP(D53,ドメインタイプDATA,6,FALSE)&amp;"","")</f>
        <v/>
      </c>
      <c r="O53" s="26" t="str">
        <f>IFERROR(VLOOKUP(D53,ドメインタイプDATA,7,FALSE)&amp;"","")</f>
        <v/>
      </c>
      <c r="P53" s="32">
        <f ca="1">COUNTIF(派生元項目KEY,A53)</f>
        <v>0</v>
      </c>
      <c r="Q53" s="32">
        <f ca="1">COUNTIF(区分値項目KEY,A53)</f>
        <v>0</v>
      </c>
    </row>
    <row r="54" spans="1:17" ht="15" x14ac:dyDescent="0.55000000000000004">
      <c r="A54" s="45"/>
      <c r="B54" s="45"/>
      <c r="C54" s="27" t="str">
        <f t="shared" si="1"/>
        <v/>
      </c>
      <c r="D54" s="45"/>
      <c r="E54" s="45"/>
      <c r="F54" s="45"/>
      <c r="G54" s="45"/>
      <c r="H54" s="45"/>
      <c r="I54" s="47"/>
      <c r="J54" s="45"/>
      <c r="K54" s="47"/>
      <c r="L54" s="49"/>
      <c r="M54" s="45"/>
      <c r="N54" s="27" t="str">
        <f>IFERROR(VLOOKUP(D54,ドメインタイプDATA,6,FALSE)&amp;"","")</f>
        <v/>
      </c>
      <c r="O54" s="27" t="str">
        <f>IFERROR(VLOOKUP(D54,ドメインタイプDATA,7,FALSE)&amp;"","")</f>
        <v/>
      </c>
      <c r="P54" s="37">
        <f ca="1">COUNTIF(派生元項目KEY,A54)</f>
        <v>0</v>
      </c>
      <c r="Q54" s="37">
        <f ca="1">COUNTIF(区分値項目KEY,A54)</f>
        <v>0</v>
      </c>
    </row>
    <row r="55" spans="1:17" ht="18" x14ac:dyDescent="0.55000000000000004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ht="18" x14ac:dyDescent="0.55000000000000004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ht="18" x14ac:dyDescent="0.55000000000000004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  <row r="215" spans="1:17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</row>
    <row r="216" spans="1:17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</row>
    <row r="217" spans="1:17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</row>
    <row r="218" spans="1:17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</row>
    <row r="219" spans="1:17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</row>
    <row r="220" spans="1:17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</row>
    <row r="221" spans="1:17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</row>
    <row r="222" spans="1:17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</row>
    <row r="223" spans="1:17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</row>
    <row r="224" spans="1:17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</row>
    <row r="225" spans="1:17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</row>
    <row r="226" spans="1:17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</row>
    <row r="227" spans="1:17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</row>
    <row r="228" spans="1:17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</row>
    <row r="229" spans="1:17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</row>
    <row r="230" spans="1:17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</row>
    <row r="231" spans="1:17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</row>
    <row r="232" spans="1:17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</row>
    <row r="233" spans="1:17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</row>
    <row r="234" spans="1:17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</row>
    <row r="235" spans="1:17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</row>
    <row r="236" spans="1:17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</row>
    <row r="237" spans="1:17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</row>
    <row r="238" spans="1:17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</row>
    <row r="239" spans="1:17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</row>
    <row r="240" spans="1:17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</row>
    <row r="241" spans="1:17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</row>
    <row r="242" spans="1:17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</row>
    <row r="243" spans="1:17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</row>
    <row r="244" spans="1:17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</row>
    <row r="245" spans="1:17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</row>
    <row r="246" spans="1:17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</row>
    <row r="247" spans="1:17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</row>
    <row r="248" spans="1:17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</row>
    <row r="249" spans="1:17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</row>
    <row r="250" spans="1:17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</row>
    <row r="251" spans="1:17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</row>
    <row r="252" spans="1:17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</row>
    <row r="253" spans="1:17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</row>
    <row r="254" spans="1:17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</row>
    <row r="255" spans="1:17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</row>
    <row r="256" spans="1:17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</row>
    <row r="257" spans="1:17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</row>
    <row r="258" spans="1:17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</row>
    <row r="259" spans="1:17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</row>
    <row r="260" spans="1:17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</row>
    <row r="261" spans="1:17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</row>
    <row r="262" spans="1:17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</row>
    <row r="263" spans="1:17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</row>
    <row r="264" spans="1:17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</row>
    <row r="265" spans="1:17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</row>
    <row r="266" spans="1:17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</row>
    <row r="267" spans="1:17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</row>
    <row r="268" spans="1:17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</row>
    <row r="269" spans="1:17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</row>
    <row r="270" spans="1:17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</row>
    <row r="271" spans="1:17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</row>
    <row r="272" spans="1:17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</row>
    <row r="273" spans="1:17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</row>
    <row r="274" spans="1:17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</row>
    <row r="275" spans="1:17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</row>
    <row r="276" spans="1:17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</row>
    <row r="277" spans="1:17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</row>
    <row r="278" spans="1:17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</row>
    <row r="279" spans="1:17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</row>
    <row r="280" spans="1:17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</row>
    <row r="281" spans="1:17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</row>
    <row r="282" spans="1:17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</row>
    <row r="283" spans="1:17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</row>
    <row r="284" spans="1:17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</row>
    <row r="285" spans="1:17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</row>
    <row r="286" spans="1:17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</row>
    <row r="287" spans="1:17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</row>
    <row r="288" spans="1:17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</row>
    <row r="289" spans="1:17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</row>
    <row r="290" spans="1:17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</row>
    <row r="291" spans="1:17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</row>
    <row r="292" spans="1:17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</row>
    <row r="293" spans="1:17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</row>
    <row r="294" spans="1:17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</row>
    <row r="295" spans="1:17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</row>
    <row r="296" spans="1:17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</row>
    <row r="297" spans="1:17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</row>
    <row r="298" spans="1:17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</row>
    <row r="299" spans="1:17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</row>
    <row r="300" spans="1:17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</row>
    <row r="301" spans="1:17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</row>
    <row r="302" spans="1:17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</row>
    <row r="303" spans="1:17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</row>
    <row r="304" spans="1:17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</row>
    <row r="305" spans="1:17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</row>
    <row r="306" spans="1:17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</row>
    <row r="307" spans="1:17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</row>
    <row r="308" spans="1:17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</row>
    <row r="309" spans="1:17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</row>
    <row r="310" spans="1:17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</row>
    <row r="311" spans="1:17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</row>
    <row r="312" spans="1:17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</row>
    <row r="313" spans="1:17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</row>
    <row r="314" spans="1:17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</row>
    <row r="315" spans="1:17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</row>
    <row r="316" spans="1:17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</row>
    <row r="317" spans="1:17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</row>
    <row r="318" spans="1:17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</row>
    <row r="319" spans="1:17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</row>
    <row r="320" spans="1:17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</row>
    <row r="321" spans="1:17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</row>
    <row r="322" spans="1:17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</row>
    <row r="323" spans="1:17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</row>
    <row r="324" spans="1:17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</row>
    <row r="325" spans="1:17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</row>
    <row r="326" spans="1:17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</row>
    <row r="327" spans="1:17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</row>
    <row r="328" spans="1:17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</row>
    <row r="329" spans="1:17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</row>
    <row r="330" spans="1:17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</row>
    <row r="331" spans="1:17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</row>
    <row r="332" spans="1:17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</row>
    <row r="333" spans="1:17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</row>
    <row r="334" spans="1:17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</row>
    <row r="335" spans="1:17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</row>
    <row r="336" spans="1:17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</row>
    <row r="337" spans="1:17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</row>
    <row r="338" spans="1:17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</row>
    <row r="339" spans="1:17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</row>
    <row r="340" spans="1:17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</row>
    <row r="341" spans="1:17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</row>
    <row r="342" spans="1:17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</row>
    <row r="343" spans="1:17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</row>
    <row r="344" spans="1:17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</row>
    <row r="345" spans="1:17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</row>
    <row r="346" spans="1:17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</row>
    <row r="347" spans="1:17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</row>
    <row r="348" spans="1:17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</row>
    <row r="349" spans="1:17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</row>
    <row r="350" spans="1:17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</row>
    <row r="351" spans="1:17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</row>
    <row r="352" spans="1:17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</row>
    <row r="353" spans="1:17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</row>
    <row r="354" spans="1:17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</row>
    <row r="355" spans="1:17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</row>
    <row r="356" spans="1:17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</row>
    <row r="357" spans="1:17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</row>
    <row r="358" spans="1:17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</row>
    <row r="359" spans="1:17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</row>
    <row r="360" spans="1:17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</row>
    <row r="361" spans="1:17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</row>
    <row r="362" spans="1:17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</row>
    <row r="363" spans="1:17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</row>
    <row r="364" spans="1:17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</row>
    <row r="365" spans="1:17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</row>
    <row r="366" spans="1:17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</row>
    <row r="367" spans="1:17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</row>
    <row r="368" spans="1:17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</row>
    <row r="369" spans="1:17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</row>
    <row r="370" spans="1:17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</row>
    <row r="371" spans="1:17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</row>
    <row r="372" spans="1:17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</row>
    <row r="373" spans="1:17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</row>
    <row r="374" spans="1:17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</row>
    <row r="375" spans="1:17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</row>
    <row r="376" spans="1:17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</row>
    <row r="377" spans="1:17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</row>
    <row r="378" spans="1:17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</row>
    <row r="379" spans="1:17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</row>
    <row r="380" spans="1:17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</row>
    <row r="381" spans="1:17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</row>
    <row r="382" spans="1:17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</row>
    <row r="383" spans="1:17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</row>
    <row r="384" spans="1:17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</row>
    <row r="385" spans="1:17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</row>
    <row r="386" spans="1:17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</row>
    <row r="387" spans="1:17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</row>
    <row r="388" spans="1:17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</row>
    <row r="389" spans="1:17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</row>
    <row r="390" spans="1:17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</row>
    <row r="391" spans="1:17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</row>
    <row r="392" spans="1:17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</row>
    <row r="393" spans="1:17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</row>
    <row r="394" spans="1:17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</row>
    <row r="395" spans="1:17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</row>
    <row r="396" spans="1:17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</row>
    <row r="397" spans="1:17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</row>
    <row r="398" spans="1:17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</row>
    <row r="399" spans="1:17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</row>
    <row r="400" spans="1:17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</row>
    <row r="401" spans="1:17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</row>
    <row r="402" spans="1:17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</row>
    <row r="403" spans="1:17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</row>
    <row r="404" spans="1:17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</row>
    <row r="405" spans="1:17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</row>
    <row r="406" spans="1:17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</row>
    <row r="407" spans="1:17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</row>
    <row r="408" spans="1:17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</row>
    <row r="409" spans="1:17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</row>
    <row r="410" spans="1:17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</row>
    <row r="411" spans="1:17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</row>
    <row r="412" spans="1:17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</row>
    <row r="413" spans="1:17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</row>
    <row r="414" spans="1:17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</row>
    <row r="415" spans="1:17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</row>
    <row r="416" spans="1:17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</row>
    <row r="417" spans="1:17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</row>
    <row r="418" spans="1:17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</row>
    <row r="419" spans="1:17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</row>
    <row r="420" spans="1:17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</row>
    <row r="421" spans="1:17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</row>
    <row r="422" spans="1:17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</row>
    <row r="423" spans="1:17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</row>
    <row r="424" spans="1:17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</row>
    <row r="425" spans="1:17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</row>
    <row r="426" spans="1:17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</row>
    <row r="427" spans="1:17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</row>
    <row r="428" spans="1:17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</row>
    <row r="429" spans="1:17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</row>
    <row r="430" spans="1:17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</row>
    <row r="431" spans="1:17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</row>
    <row r="432" spans="1:17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</row>
    <row r="433" spans="1:17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</row>
    <row r="434" spans="1:17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</row>
    <row r="435" spans="1:17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</row>
    <row r="436" spans="1:17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</row>
    <row r="437" spans="1:17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</row>
    <row r="438" spans="1:17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</row>
    <row r="439" spans="1:17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</row>
    <row r="440" spans="1:17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</row>
    <row r="441" spans="1:17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</row>
    <row r="442" spans="1:17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</row>
    <row r="443" spans="1:17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</row>
    <row r="444" spans="1:17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</row>
    <row r="445" spans="1:17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</row>
    <row r="446" spans="1:17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</row>
    <row r="447" spans="1:17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</row>
    <row r="448" spans="1:17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</row>
    <row r="449" spans="1:17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</row>
    <row r="450" spans="1:17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</row>
    <row r="451" spans="1:17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</row>
    <row r="452" spans="1:17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</row>
    <row r="453" spans="1:17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</row>
    <row r="454" spans="1:17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</row>
    <row r="455" spans="1:17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</row>
    <row r="456" spans="1:17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</row>
    <row r="457" spans="1:17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</row>
    <row r="458" spans="1:17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</row>
    <row r="459" spans="1:17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</row>
    <row r="460" spans="1:17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</row>
    <row r="461" spans="1:17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</row>
    <row r="462" spans="1:17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</row>
    <row r="463" spans="1:17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</row>
    <row r="464" spans="1:17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</row>
    <row r="465" spans="1:17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</row>
    <row r="466" spans="1:17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</row>
    <row r="467" spans="1:17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</row>
    <row r="468" spans="1:17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</row>
    <row r="469" spans="1:17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</row>
    <row r="470" spans="1:17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</row>
    <row r="471" spans="1:17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</row>
    <row r="472" spans="1:17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</row>
    <row r="473" spans="1:17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</row>
    <row r="474" spans="1:17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</row>
    <row r="475" spans="1:17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</row>
    <row r="476" spans="1:17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</row>
    <row r="477" spans="1:17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</row>
    <row r="478" spans="1:17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</row>
    <row r="479" spans="1:17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</row>
    <row r="480" spans="1:17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</row>
    <row r="481" spans="1:17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</row>
    <row r="482" spans="1:17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</row>
    <row r="483" spans="1:17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</row>
    <row r="484" spans="1:17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</row>
    <row r="485" spans="1:17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</row>
    <row r="486" spans="1:17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</row>
    <row r="487" spans="1:17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</row>
    <row r="488" spans="1:17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</row>
    <row r="489" spans="1:17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</row>
    <row r="490" spans="1:17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</row>
    <row r="491" spans="1:17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</row>
    <row r="492" spans="1:17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</row>
    <row r="493" spans="1:17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</row>
    <row r="494" spans="1:17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</row>
    <row r="495" spans="1:17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</row>
    <row r="496" spans="1:17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</row>
    <row r="497" spans="1:17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</row>
    <row r="498" spans="1:17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</row>
    <row r="499" spans="1:17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</row>
    <row r="500" spans="1:17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</row>
    <row r="501" spans="1:17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</row>
    <row r="502" spans="1:17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</row>
    <row r="503" spans="1:17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</row>
    <row r="504" spans="1:17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</row>
    <row r="505" spans="1:17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</row>
    <row r="506" spans="1:17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</row>
    <row r="507" spans="1:17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</row>
    <row r="508" spans="1:17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</row>
    <row r="509" spans="1:17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</row>
    <row r="510" spans="1:17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</row>
    <row r="511" spans="1:17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</row>
    <row r="512" spans="1:17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</row>
    <row r="513" spans="1:17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</row>
    <row r="514" spans="1:17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</row>
    <row r="515" spans="1:17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</row>
    <row r="516" spans="1:17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</row>
    <row r="517" spans="1:17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</row>
    <row r="518" spans="1:17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</row>
    <row r="519" spans="1:17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</row>
    <row r="520" spans="1:17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</row>
    <row r="521" spans="1:17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</row>
    <row r="522" spans="1:17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</row>
    <row r="523" spans="1:17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</row>
    <row r="524" spans="1:17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</row>
    <row r="525" spans="1:17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</row>
    <row r="526" spans="1:17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</row>
    <row r="527" spans="1:17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</row>
    <row r="528" spans="1:17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</row>
    <row r="529" spans="1:17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</row>
    <row r="530" spans="1:17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</row>
    <row r="531" spans="1:17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</row>
    <row r="532" spans="1:17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</row>
    <row r="533" spans="1:17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</row>
    <row r="534" spans="1:17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</row>
    <row r="535" spans="1:17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</row>
    <row r="536" spans="1:17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</row>
    <row r="537" spans="1:17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</row>
    <row r="538" spans="1:17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</row>
    <row r="539" spans="1:17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</row>
    <row r="540" spans="1:17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</row>
    <row r="541" spans="1:17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</row>
    <row r="542" spans="1:17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</row>
    <row r="543" spans="1:17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</row>
    <row r="544" spans="1:17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</row>
    <row r="545" spans="1:17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</row>
    <row r="546" spans="1:17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</row>
    <row r="547" spans="1:17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</row>
    <row r="548" spans="1:17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</row>
    <row r="549" spans="1:17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</row>
    <row r="550" spans="1:17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</row>
    <row r="551" spans="1:17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</row>
    <row r="552" spans="1:17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</row>
    <row r="553" spans="1:17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</row>
    <row r="554" spans="1:17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</row>
    <row r="555" spans="1:17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</row>
    <row r="556" spans="1:17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</row>
    <row r="557" spans="1:17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</row>
    <row r="558" spans="1:17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</row>
    <row r="559" spans="1:17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</row>
    <row r="560" spans="1:17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</row>
    <row r="561" spans="1:17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</row>
    <row r="562" spans="1:17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</row>
    <row r="563" spans="1:17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</row>
    <row r="564" spans="1:17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</row>
    <row r="565" spans="1:17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</row>
    <row r="566" spans="1:17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</row>
    <row r="567" spans="1:17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</row>
    <row r="568" spans="1:17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</row>
    <row r="569" spans="1:17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</row>
    <row r="570" spans="1:17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</row>
    <row r="571" spans="1:17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</row>
    <row r="572" spans="1:17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</row>
    <row r="573" spans="1:17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</row>
    <row r="574" spans="1:17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</row>
    <row r="575" spans="1:17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</row>
    <row r="576" spans="1:17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</row>
    <row r="577" spans="1:17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</row>
    <row r="578" spans="1:17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</row>
    <row r="579" spans="1:17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</row>
    <row r="580" spans="1:17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</row>
    <row r="581" spans="1:17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</row>
    <row r="582" spans="1:17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</row>
    <row r="583" spans="1:17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</row>
    <row r="584" spans="1:17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</row>
    <row r="585" spans="1:17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</row>
    <row r="586" spans="1:17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</row>
    <row r="587" spans="1:17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</row>
    <row r="588" spans="1:17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</row>
    <row r="589" spans="1:17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</row>
    <row r="590" spans="1:17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</row>
    <row r="591" spans="1:17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</row>
    <row r="592" spans="1:17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</row>
    <row r="593" spans="1:17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</row>
    <row r="594" spans="1:17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</row>
    <row r="595" spans="1:17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</row>
    <row r="596" spans="1:17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</row>
    <row r="597" spans="1:17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</row>
    <row r="598" spans="1:17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</row>
    <row r="599" spans="1:17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</row>
    <row r="600" spans="1:17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</row>
    <row r="601" spans="1:17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</row>
    <row r="602" spans="1:17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</row>
    <row r="603" spans="1:17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</row>
    <row r="604" spans="1:17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</row>
    <row r="605" spans="1:17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</row>
    <row r="606" spans="1:17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</row>
    <row r="607" spans="1:17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</row>
    <row r="608" spans="1:17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</row>
    <row r="609" spans="1:17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</row>
    <row r="610" spans="1:17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</row>
    <row r="611" spans="1:17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</row>
    <row r="612" spans="1:17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</row>
    <row r="613" spans="1:17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</row>
    <row r="614" spans="1:17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</row>
    <row r="615" spans="1:17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</row>
    <row r="616" spans="1:17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</row>
    <row r="617" spans="1:17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</row>
    <row r="618" spans="1:17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</row>
    <row r="619" spans="1:17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</row>
    <row r="620" spans="1:17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</row>
    <row r="621" spans="1:17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</row>
    <row r="622" spans="1:17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</row>
    <row r="623" spans="1:17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</row>
    <row r="624" spans="1:17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</row>
    <row r="625" spans="1:17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</row>
    <row r="626" spans="1:17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</row>
    <row r="627" spans="1:17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</row>
    <row r="628" spans="1:17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</row>
    <row r="629" spans="1:17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</row>
    <row r="630" spans="1:17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</row>
    <row r="631" spans="1:17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</row>
    <row r="632" spans="1:17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</row>
    <row r="633" spans="1:17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</row>
    <row r="634" spans="1:17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</row>
    <row r="635" spans="1:17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</row>
    <row r="636" spans="1:17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</row>
    <row r="637" spans="1:17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</row>
    <row r="638" spans="1:17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</row>
    <row r="639" spans="1:17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</row>
    <row r="640" spans="1:17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</row>
    <row r="641" spans="1:17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</row>
    <row r="642" spans="1:17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</row>
    <row r="643" spans="1:17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</row>
    <row r="644" spans="1:17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</row>
    <row r="645" spans="1:17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</row>
    <row r="646" spans="1:17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</row>
    <row r="647" spans="1:17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</row>
    <row r="648" spans="1:17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</row>
    <row r="649" spans="1:17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</row>
    <row r="650" spans="1:17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</row>
    <row r="651" spans="1:17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</row>
    <row r="652" spans="1:17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</row>
    <row r="653" spans="1:17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</row>
    <row r="654" spans="1:17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</row>
    <row r="655" spans="1:17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</row>
    <row r="656" spans="1:17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</row>
    <row r="657" spans="1:17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</row>
    <row r="658" spans="1:17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</row>
    <row r="659" spans="1:17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</row>
    <row r="660" spans="1:17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</row>
    <row r="661" spans="1:17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</row>
    <row r="662" spans="1:17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</row>
    <row r="663" spans="1:17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</row>
    <row r="664" spans="1:17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</row>
    <row r="665" spans="1:17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</row>
    <row r="666" spans="1:17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</row>
    <row r="667" spans="1:17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</row>
    <row r="668" spans="1:17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</row>
    <row r="669" spans="1:17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</row>
    <row r="670" spans="1:17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</row>
    <row r="671" spans="1:17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</row>
    <row r="672" spans="1:17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</row>
    <row r="673" spans="1:17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</row>
    <row r="674" spans="1:17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</row>
    <row r="675" spans="1:17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</row>
    <row r="676" spans="1:17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</row>
    <row r="677" spans="1:17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</row>
    <row r="678" spans="1:17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</row>
    <row r="679" spans="1:17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</row>
    <row r="680" spans="1:17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</row>
    <row r="681" spans="1:17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</row>
    <row r="682" spans="1:17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</row>
    <row r="683" spans="1:17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</row>
    <row r="684" spans="1:17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</row>
    <row r="685" spans="1:17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</row>
    <row r="686" spans="1:17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</row>
    <row r="687" spans="1:17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</row>
    <row r="688" spans="1:17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</row>
    <row r="689" spans="1:17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</row>
    <row r="690" spans="1:17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</row>
    <row r="691" spans="1:17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</row>
    <row r="692" spans="1:17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</row>
    <row r="693" spans="1:17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</row>
    <row r="694" spans="1:17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</row>
    <row r="695" spans="1:17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</row>
    <row r="696" spans="1:17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</row>
    <row r="697" spans="1:17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</row>
    <row r="698" spans="1:17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</row>
    <row r="699" spans="1:17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</row>
    <row r="700" spans="1:17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</row>
    <row r="701" spans="1:17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</row>
    <row r="702" spans="1:17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</row>
    <row r="703" spans="1:17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</row>
    <row r="704" spans="1:17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</row>
    <row r="705" spans="1:17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</row>
    <row r="706" spans="1:17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</row>
    <row r="707" spans="1:17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</row>
    <row r="708" spans="1:17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</row>
    <row r="709" spans="1:17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</row>
    <row r="710" spans="1:17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</row>
    <row r="711" spans="1:17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</row>
    <row r="712" spans="1:17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</row>
    <row r="713" spans="1:17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</row>
    <row r="714" spans="1:17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</row>
    <row r="715" spans="1:17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</row>
    <row r="716" spans="1:17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</row>
    <row r="717" spans="1:17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</row>
    <row r="718" spans="1:17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</row>
    <row r="719" spans="1:17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</row>
    <row r="720" spans="1:17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</row>
    <row r="721" spans="1:17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</row>
    <row r="722" spans="1:17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</row>
    <row r="723" spans="1:17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</row>
    <row r="724" spans="1:17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</row>
    <row r="725" spans="1:17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</row>
    <row r="726" spans="1:17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</row>
    <row r="727" spans="1:17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</row>
    <row r="728" spans="1:17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</row>
    <row r="729" spans="1:17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</row>
    <row r="730" spans="1:17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</row>
    <row r="731" spans="1:17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</row>
    <row r="732" spans="1:17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</row>
    <row r="733" spans="1:17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</row>
    <row r="734" spans="1:17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</row>
    <row r="735" spans="1:17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</row>
    <row r="736" spans="1:17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</row>
    <row r="737" spans="1:17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</row>
    <row r="738" spans="1:17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</row>
    <row r="739" spans="1:17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</row>
    <row r="740" spans="1:17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</row>
    <row r="741" spans="1:17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</row>
    <row r="742" spans="1:17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</row>
    <row r="743" spans="1:17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</row>
    <row r="744" spans="1:17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</row>
    <row r="745" spans="1:17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</row>
    <row r="746" spans="1:17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</row>
    <row r="747" spans="1:17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</row>
    <row r="748" spans="1:17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</row>
    <row r="749" spans="1:17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</row>
    <row r="750" spans="1:17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</row>
    <row r="751" spans="1:17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</row>
    <row r="752" spans="1:17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</row>
    <row r="753" spans="1:17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</row>
    <row r="754" spans="1:17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</row>
    <row r="755" spans="1:17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</row>
    <row r="756" spans="1:17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</row>
    <row r="757" spans="1:17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</row>
    <row r="758" spans="1:17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</row>
    <row r="759" spans="1:17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</row>
    <row r="760" spans="1:17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</row>
    <row r="761" spans="1:17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</row>
    <row r="762" spans="1:17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</row>
    <row r="763" spans="1:17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</row>
    <row r="764" spans="1:17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</row>
    <row r="765" spans="1:17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</row>
    <row r="766" spans="1:17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</row>
    <row r="767" spans="1:17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</row>
    <row r="768" spans="1:17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</row>
    <row r="769" spans="1:17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</row>
    <row r="770" spans="1:17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</row>
    <row r="771" spans="1:17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</row>
    <row r="772" spans="1:17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</row>
    <row r="773" spans="1:17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</row>
    <row r="774" spans="1:17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</row>
    <row r="775" spans="1:17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</row>
    <row r="776" spans="1:17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</row>
    <row r="777" spans="1:17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</row>
    <row r="778" spans="1:17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</row>
    <row r="779" spans="1:17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</row>
    <row r="780" spans="1:17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</row>
    <row r="781" spans="1:17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</row>
    <row r="782" spans="1:17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</row>
    <row r="783" spans="1:17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</row>
    <row r="784" spans="1:17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</row>
    <row r="785" spans="1:17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</row>
    <row r="786" spans="1:17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</row>
    <row r="787" spans="1:17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</row>
    <row r="788" spans="1:17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</row>
    <row r="789" spans="1:17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</row>
    <row r="790" spans="1:17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</row>
    <row r="791" spans="1:17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</row>
    <row r="792" spans="1:17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</row>
    <row r="793" spans="1:17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</row>
    <row r="794" spans="1:17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</row>
    <row r="795" spans="1:17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</row>
    <row r="796" spans="1:17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</row>
    <row r="797" spans="1:17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</row>
    <row r="798" spans="1:17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</row>
    <row r="799" spans="1:17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</row>
    <row r="800" spans="1:17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</row>
    <row r="801" spans="1:17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</row>
    <row r="802" spans="1:17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</row>
    <row r="803" spans="1:17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</row>
    <row r="804" spans="1:17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</row>
    <row r="805" spans="1:17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</row>
    <row r="806" spans="1:17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</row>
    <row r="807" spans="1:17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</row>
    <row r="808" spans="1:17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</row>
    <row r="809" spans="1:17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</row>
    <row r="810" spans="1:17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</row>
    <row r="811" spans="1:17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</row>
    <row r="812" spans="1:17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</row>
    <row r="813" spans="1:17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</row>
    <row r="814" spans="1:17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</row>
    <row r="815" spans="1:17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</row>
    <row r="816" spans="1:17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</row>
    <row r="817" spans="1:17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</row>
    <row r="818" spans="1:17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</row>
    <row r="819" spans="1:17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</row>
    <row r="820" spans="1:17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</row>
    <row r="821" spans="1:17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</row>
    <row r="822" spans="1:17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</row>
    <row r="823" spans="1:17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</row>
    <row r="824" spans="1:17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</row>
    <row r="825" spans="1:17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</row>
    <row r="826" spans="1:17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</row>
    <row r="827" spans="1:17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</row>
    <row r="828" spans="1:17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</row>
    <row r="829" spans="1:17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</row>
    <row r="830" spans="1:17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</row>
    <row r="831" spans="1:17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</row>
    <row r="832" spans="1:17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</row>
    <row r="833" spans="1:17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</row>
    <row r="834" spans="1:17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</row>
    <row r="835" spans="1:17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</row>
    <row r="836" spans="1:17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</row>
    <row r="837" spans="1:17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</row>
    <row r="838" spans="1:17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</row>
    <row r="839" spans="1:17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</row>
    <row r="840" spans="1:17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</row>
    <row r="841" spans="1:17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</row>
    <row r="842" spans="1:17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</row>
    <row r="843" spans="1:17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</row>
    <row r="844" spans="1:17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</row>
    <row r="845" spans="1:17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</row>
    <row r="846" spans="1:17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</row>
    <row r="847" spans="1:17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</row>
    <row r="848" spans="1:17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</row>
    <row r="849" spans="1:17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</row>
    <row r="850" spans="1:17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</row>
    <row r="851" spans="1:17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</row>
    <row r="852" spans="1:17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</row>
    <row r="853" spans="1:17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</row>
    <row r="854" spans="1:17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</row>
    <row r="855" spans="1:17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</row>
    <row r="856" spans="1:17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</row>
    <row r="857" spans="1:17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</row>
    <row r="858" spans="1:17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</row>
    <row r="859" spans="1:17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</row>
    <row r="860" spans="1:17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</row>
    <row r="861" spans="1:17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</row>
    <row r="862" spans="1:17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</row>
    <row r="863" spans="1:17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</row>
    <row r="864" spans="1:17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</row>
    <row r="865" spans="1:17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</row>
    <row r="866" spans="1:17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</row>
    <row r="867" spans="1:17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</row>
    <row r="868" spans="1:17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</row>
    <row r="869" spans="1:17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</row>
    <row r="870" spans="1:17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</row>
    <row r="871" spans="1:17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</row>
    <row r="872" spans="1:17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</row>
    <row r="873" spans="1:17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</row>
    <row r="874" spans="1:17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</row>
    <row r="875" spans="1:17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</row>
    <row r="876" spans="1:17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</row>
    <row r="877" spans="1:17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</row>
    <row r="878" spans="1:17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</row>
    <row r="879" spans="1:17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</row>
    <row r="880" spans="1:17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</row>
    <row r="881" spans="1:17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</row>
    <row r="882" spans="1:17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</row>
    <row r="883" spans="1:17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</row>
    <row r="884" spans="1:17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</row>
    <row r="885" spans="1:17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</row>
    <row r="886" spans="1:17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</row>
    <row r="887" spans="1:17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</row>
    <row r="888" spans="1:17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</row>
    <row r="889" spans="1:17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</row>
    <row r="890" spans="1:17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</row>
    <row r="891" spans="1:17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</row>
    <row r="892" spans="1:17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</row>
    <row r="893" spans="1:17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</row>
    <row r="894" spans="1:17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</row>
    <row r="895" spans="1:17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</row>
    <row r="896" spans="1:17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</row>
    <row r="897" spans="1:17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</row>
    <row r="898" spans="1:17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</row>
    <row r="899" spans="1:17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</row>
    <row r="900" spans="1:17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</row>
    <row r="901" spans="1:17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</row>
    <row r="902" spans="1:17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</row>
    <row r="903" spans="1:17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</row>
    <row r="904" spans="1:17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</row>
    <row r="905" spans="1:17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</row>
    <row r="906" spans="1:17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</row>
    <row r="907" spans="1:17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</row>
    <row r="908" spans="1:17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</row>
    <row r="909" spans="1:17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</row>
    <row r="910" spans="1:17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</row>
    <row r="911" spans="1:17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</row>
    <row r="912" spans="1:17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</row>
    <row r="913" spans="1:17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</row>
    <row r="914" spans="1:17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</row>
    <row r="915" spans="1:17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</row>
    <row r="916" spans="1:17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</row>
    <row r="917" spans="1:17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</row>
    <row r="918" spans="1:17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</row>
    <row r="919" spans="1:17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</row>
    <row r="920" spans="1:17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</row>
    <row r="921" spans="1:17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</row>
    <row r="922" spans="1:17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</row>
    <row r="923" spans="1:17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</row>
    <row r="924" spans="1:17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</row>
    <row r="925" spans="1:17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</row>
    <row r="926" spans="1:17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</row>
    <row r="927" spans="1:17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</row>
    <row r="928" spans="1:17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</row>
    <row r="929" spans="1:17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</row>
    <row r="930" spans="1:17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</row>
    <row r="931" spans="1:17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</row>
    <row r="932" spans="1:17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</row>
    <row r="933" spans="1:17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</row>
    <row r="934" spans="1:17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</row>
    <row r="935" spans="1:17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</row>
    <row r="936" spans="1:17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</row>
    <row r="937" spans="1:17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</row>
    <row r="938" spans="1:17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</row>
    <row r="939" spans="1:17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</row>
    <row r="940" spans="1:17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</row>
    <row r="941" spans="1:17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</row>
    <row r="942" spans="1:17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</row>
    <row r="943" spans="1:17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</row>
    <row r="944" spans="1:17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</row>
    <row r="945" spans="1:17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</row>
    <row r="946" spans="1:17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</row>
    <row r="947" spans="1:17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</row>
    <row r="948" spans="1:17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</row>
    <row r="949" spans="1:17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</row>
    <row r="950" spans="1:17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</row>
    <row r="951" spans="1:17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</row>
    <row r="952" spans="1:17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</row>
    <row r="953" spans="1:17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</row>
    <row r="954" spans="1:17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</row>
    <row r="955" spans="1:17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</row>
    <row r="956" spans="1:17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</row>
    <row r="957" spans="1:17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</row>
    <row r="958" spans="1:17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</row>
    <row r="959" spans="1:17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</row>
    <row r="960" spans="1:17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</row>
    <row r="961" spans="1:17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</row>
    <row r="962" spans="1:17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</row>
    <row r="963" spans="1:17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</row>
    <row r="964" spans="1:17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</row>
    <row r="965" spans="1:17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</row>
    <row r="966" spans="1:17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</row>
    <row r="967" spans="1:17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</row>
    <row r="968" spans="1:17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</row>
    <row r="969" spans="1:17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</row>
    <row r="970" spans="1:17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</row>
    <row r="971" spans="1:17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</row>
    <row r="972" spans="1:17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</row>
    <row r="973" spans="1:17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</row>
    <row r="974" spans="1:17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</row>
    <row r="975" spans="1:17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</row>
    <row r="976" spans="1:17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</row>
    <row r="977" spans="1:17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</row>
    <row r="978" spans="1:17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</row>
    <row r="979" spans="1:17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</row>
    <row r="980" spans="1:17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</row>
    <row r="981" spans="1:17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</row>
    <row r="982" spans="1:17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</row>
    <row r="983" spans="1:17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</row>
    <row r="984" spans="1:17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</row>
    <row r="985" spans="1:17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</row>
    <row r="986" spans="1:17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</row>
    <row r="987" spans="1:17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</row>
    <row r="988" spans="1:17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</row>
    <row r="989" spans="1:17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</row>
    <row r="990" spans="1:17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</row>
    <row r="991" spans="1:17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</row>
    <row r="992" spans="1:17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</row>
    <row r="993" spans="1:17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</row>
    <row r="994" spans="1:17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</row>
    <row r="995" spans="1:17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</row>
    <row r="996" spans="1:17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</row>
    <row r="997" spans="1:17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</row>
    <row r="998" spans="1:17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</row>
    <row r="999" spans="1:17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</row>
    <row r="1000" spans="1:17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</row>
    <row r="1001" spans="1:17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</row>
    <row r="1002" spans="1:17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</row>
    <row r="1003" spans="1:17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</row>
    <row r="1004" spans="1:17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</row>
    <row r="1005" spans="1:17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</row>
    <row r="1006" spans="1:17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</row>
    <row r="1007" spans="1:17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</row>
    <row r="1008" spans="1:17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</row>
    <row r="1009" spans="1:17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</row>
    <row r="1010" spans="1:17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</row>
    <row r="1011" spans="1:17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</row>
    <row r="1012" spans="1:17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</row>
    <row r="1013" spans="1:17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</row>
    <row r="1014" spans="1:17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</row>
    <row r="1015" spans="1:17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</row>
    <row r="1016" spans="1:17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</row>
    <row r="1017" spans="1:17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</row>
    <row r="1018" spans="1:17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</row>
    <row r="1019" spans="1:17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</row>
    <row r="1020" spans="1:17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</row>
    <row r="1021" spans="1:17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</row>
    <row r="1022" spans="1:17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</row>
    <row r="1023" spans="1:17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</row>
    <row r="1024" spans="1:17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</row>
    <row r="1025" spans="1:17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</row>
    <row r="1026" spans="1:17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</row>
    <row r="1027" spans="1:17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</row>
    <row r="1028" spans="1:17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</row>
    <row r="1029" spans="1:17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</row>
    <row r="1030" spans="1:17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</row>
    <row r="1031" spans="1:17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</row>
    <row r="1032" spans="1:17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</row>
    <row r="1033" spans="1:17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</row>
    <row r="1034" spans="1:17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</row>
    <row r="1035" spans="1:17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</row>
    <row r="1036" spans="1:17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</row>
    <row r="1037" spans="1:17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</row>
    <row r="1038" spans="1:17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</row>
    <row r="1039" spans="1:17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</row>
    <row r="1040" spans="1:17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</row>
    <row r="1041" spans="1:17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</row>
    <row r="1042" spans="1:17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</row>
    <row r="1043" spans="1:17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</row>
    <row r="1044" spans="1:17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</row>
    <row r="1045" spans="1:17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</row>
    <row r="1046" spans="1:17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</row>
    <row r="1047" spans="1:17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</row>
    <row r="1048" spans="1:17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</row>
    <row r="1049" spans="1:17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</row>
    <row r="1050" spans="1:17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</row>
    <row r="1051" spans="1:17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</row>
    <row r="1052" spans="1:17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</row>
    <row r="1053" spans="1:17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</row>
    <row r="1054" spans="1:17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</row>
    <row r="1055" spans="1:17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</row>
    <row r="1056" spans="1:17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</row>
    <row r="1057" spans="1:17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</row>
    <row r="1058" spans="1:17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</row>
    <row r="1059" spans="1:17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</row>
    <row r="1060" spans="1:17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</row>
    <row r="1061" spans="1:17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</row>
    <row r="1062" spans="1:17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</row>
    <row r="1063" spans="1:17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</row>
    <row r="1064" spans="1:17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</row>
    <row r="1065" spans="1:17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</row>
    <row r="1066" spans="1:17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</row>
    <row r="1067" spans="1:17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</row>
    <row r="1068" spans="1:17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</row>
    <row r="1069" spans="1:17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</row>
    <row r="1070" spans="1:17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</row>
    <row r="1071" spans="1:17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</row>
    <row r="1072" spans="1:17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</row>
    <row r="1073" spans="1:17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</row>
    <row r="1074" spans="1:17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</row>
    <row r="1075" spans="1:17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</row>
    <row r="1076" spans="1:17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</row>
    <row r="1077" spans="1:17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</row>
    <row r="1078" spans="1:17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</row>
    <row r="1079" spans="1:17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</row>
    <row r="1080" spans="1:17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</row>
    <row r="1081" spans="1:17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</row>
    <row r="1082" spans="1:17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</row>
    <row r="1083" spans="1:17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</row>
    <row r="1084" spans="1:17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</row>
    <row r="1085" spans="1:17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</row>
    <row r="1086" spans="1:17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</row>
    <row r="1087" spans="1:17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</row>
    <row r="1088" spans="1:17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</row>
    <row r="1089" spans="1:17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</row>
    <row r="1090" spans="1:17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</row>
    <row r="1091" spans="1:17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</row>
    <row r="1092" spans="1:17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</row>
    <row r="1093" spans="1:17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</row>
    <row r="1094" spans="1:17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</row>
    <row r="1095" spans="1:17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</row>
    <row r="1096" spans="1:17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</row>
    <row r="1097" spans="1:17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</row>
    <row r="1098" spans="1:17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</row>
    <row r="1099" spans="1:17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</row>
    <row r="1100" spans="1:17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</row>
    <row r="1101" spans="1:17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</row>
    <row r="1102" spans="1:17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</row>
    <row r="1103" spans="1:17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</row>
    <row r="1104" spans="1:17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</row>
    <row r="1105" spans="1:17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</row>
    <row r="1106" spans="1:17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</row>
    <row r="1107" spans="1:17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</row>
    <row r="1108" spans="1:17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</row>
    <row r="1109" spans="1:17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</row>
    <row r="1110" spans="1:17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</row>
    <row r="1111" spans="1:17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</row>
    <row r="1112" spans="1:17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</row>
    <row r="1113" spans="1:17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</row>
    <row r="1114" spans="1:17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</row>
    <row r="1115" spans="1:17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</row>
    <row r="1116" spans="1:17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</row>
    <row r="1117" spans="1:17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</row>
    <row r="1118" spans="1:17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</row>
    <row r="1119" spans="1:17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</row>
    <row r="1120" spans="1:17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</row>
    <row r="1121" spans="1:17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</row>
    <row r="1122" spans="1:17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</row>
    <row r="1123" spans="1:17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</row>
    <row r="1124" spans="1:17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</row>
    <row r="1125" spans="1:17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</row>
    <row r="1126" spans="1:17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</row>
    <row r="1127" spans="1:17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</row>
    <row r="1128" spans="1:17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</row>
    <row r="1129" spans="1:17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</row>
    <row r="1130" spans="1:17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</row>
    <row r="1131" spans="1:17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</row>
    <row r="1132" spans="1:17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</row>
    <row r="1133" spans="1:17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</row>
    <row r="1134" spans="1:17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</row>
    <row r="1135" spans="1:17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</row>
    <row r="1136" spans="1:17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</row>
    <row r="1137" spans="1:17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</row>
    <row r="1138" spans="1:17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</row>
    <row r="1139" spans="1:17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</row>
    <row r="1140" spans="1:17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</row>
    <row r="1141" spans="1:17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</row>
    <row r="1142" spans="1:17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</row>
    <row r="1143" spans="1:17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</row>
    <row r="1144" spans="1:17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</row>
    <row r="1145" spans="1:17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</row>
    <row r="1146" spans="1:17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</row>
    <row r="1147" spans="1:17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</row>
    <row r="1148" spans="1:17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</row>
    <row r="1149" spans="1:17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</row>
    <row r="1150" spans="1:17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</row>
    <row r="1151" spans="1:17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</row>
    <row r="1152" spans="1:17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</row>
    <row r="1153" spans="1:17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</row>
    <row r="1154" spans="1:17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</row>
    <row r="1155" spans="1:17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</row>
    <row r="1156" spans="1:17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</row>
    <row r="1157" spans="1:17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</row>
    <row r="1158" spans="1:17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</row>
    <row r="1159" spans="1:17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</row>
    <row r="1160" spans="1:17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</row>
    <row r="1161" spans="1:17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</row>
    <row r="1162" spans="1:17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</row>
    <row r="1163" spans="1:17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</row>
    <row r="1164" spans="1:17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</row>
    <row r="1165" spans="1:17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</row>
    <row r="1166" spans="1:17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</row>
    <row r="1167" spans="1:17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</row>
    <row r="1168" spans="1:17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</row>
    <row r="1169" spans="1:17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</row>
    <row r="1170" spans="1:17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</row>
    <row r="1171" spans="1:17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</row>
    <row r="1172" spans="1:17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</row>
    <row r="1173" spans="1:17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</row>
    <row r="1174" spans="1:17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</row>
    <row r="1175" spans="1:17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</row>
    <row r="1176" spans="1:17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</row>
    <row r="1177" spans="1:17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</row>
    <row r="1178" spans="1:17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</row>
    <row r="1179" spans="1:17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</row>
    <row r="1180" spans="1:17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</row>
    <row r="1181" spans="1:17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</row>
    <row r="1182" spans="1:17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</row>
    <row r="1183" spans="1:17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</row>
    <row r="1184" spans="1:17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</row>
    <row r="1185" spans="1:17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</row>
    <row r="1186" spans="1:17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</row>
    <row r="1187" spans="1:17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</row>
    <row r="1188" spans="1:17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</row>
    <row r="1189" spans="1:17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</row>
    <row r="1190" spans="1:17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</row>
    <row r="1191" spans="1:17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</row>
    <row r="1192" spans="1:17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</row>
    <row r="1193" spans="1:17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</row>
    <row r="1194" spans="1:17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</row>
    <row r="1195" spans="1:17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</row>
    <row r="1196" spans="1:17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</row>
    <row r="1197" spans="1:17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</row>
    <row r="1198" spans="1:17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</row>
    <row r="1199" spans="1:17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</row>
    <row r="1200" spans="1:17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</row>
    <row r="1201" spans="1:17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</row>
    <row r="1202" spans="1:17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</row>
    <row r="1203" spans="1:17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</row>
    <row r="1204" spans="1:17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</row>
    <row r="1205" spans="1:17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</row>
    <row r="1206" spans="1:17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</row>
    <row r="1207" spans="1:17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</row>
    <row r="1208" spans="1:17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</row>
    <row r="1209" spans="1:17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</row>
    <row r="1210" spans="1:17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</row>
    <row r="1211" spans="1:17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</row>
    <row r="1212" spans="1:17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</row>
    <row r="1213" spans="1:17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</row>
    <row r="1214" spans="1:17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</row>
    <row r="1215" spans="1:17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</row>
    <row r="1216" spans="1:17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</row>
    <row r="1217" spans="1:17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</row>
    <row r="1218" spans="1:17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</row>
    <row r="1219" spans="1:17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</row>
    <row r="1220" spans="1:17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</row>
    <row r="1221" spans="1:17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</row>
    <row r="1222" spans="1:17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</row>
    <row r="1223" spans="1:17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</row>
    <row r="1224" spans="1:17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</row>
    <row r="1225" spans="1:17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</row>
    <row r="1226" spans="1:17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</row>
    <row r="1227" spans="1:17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</row>
    <row r="1228" spans="1:17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</row>
    <row r="1229" spans="1:17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</row>
    <row r="1230" spans="1:17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</row>
    <row r="1231" spans="1:17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</row>
    <row r="1232" spans="1:17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</row>
    <row r="1233" spans="1:17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</row>
    <row r="1234" spans="1:17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</row>
    <row r="1235" spans="1:17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</row>
    <row r="1236" spans="1:17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</row>
    <row r="1237" spans="1:17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</row>
    <row r="1238" spans="1:17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</row>
    <row r="1239" spans="1:17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</row>
    <row r="1240" spans="1:17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</row>
    <row r="1241" spans="1:17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</row>
    <row r="1242" spans="1:17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</row>
    <row r="1243" spans="1:17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</row>
    <row r="1244" spans="1:17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</row>
    <row r="1245" spans="1:17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</row>
    <row r="1246" spans="1:17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</row>
    <row r="1247" spans="1:17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</row>
    <row r="1248" spans="1:17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</row>
    <row r="1249" spans="1:17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</row>
    <row r="1250" spans="1:17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</row>
    <row r="1251" spans="1:17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</row>
    <row r="1252" spans="1:17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</row>
    <row r="1253" spans="1:17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</row>
    <row r="1254" spans="1:17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</row>
    <row r="1255" spans="1:17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</row>
    <row r="1256" spans="1:17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</row>
    <row r="1257" spans="1:17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</row>
    <row r="1258" spans="1:17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</row>
    <row r="1259" spans="1:17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</row>
    <row r="1260" spans="1:17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</row>
    <row r="1261" spans="1:17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</row>
    <row r="1262" spans="1:17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</row>
    <row r="1263" spans="1:17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</row>
    <row r="1264" spans="1:17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</row>
    <row r="1265" spans="1:17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</row>
    <row r="1266" spans="1:17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</row>
    <row r="1267" spans="1:17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</row>
    <row r="1268" spans="1:17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</row>
    <row r="1269" spans="1:17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</row>
    <row r="1270" spans="1:17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</row>
    <row r="1271" spans="1:17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</row>
    <row r="1272" spans="1:17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</row>
    <row r="1273" spans="1:17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</row>
    <row r="1274" spans="1:17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</row>
    <row r="1275" spans="1:17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</row>
    <row r="1276" spans="1:17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</row>
    <row r="1277" spans="1:17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</row>
    <row r="1278" spans="1:17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</row>
    <row r="1279" spans="1:17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</row>
    <row r="1280" spans="1:17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</row>
    <row r="1281" spans="1:17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</row>
    <row r="1282" spans="1:17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</row>
    <row r="1283" spans="1:17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</row>
    <row r="1284" spans="1:17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</row>
    <row r="1285" spans="1:17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</row>
    <row r="1286" spans="1:17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</row>
    <row r="1287" spans="1:17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</row>
    <row r="1288" spans="1:17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</row>
    <row r="1289" spans="1:17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</row>
    <row r="1290" spans="1:17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</row>
    <row r="1291" spans="1:17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</row>
    <row r="1292" spans="1:17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</row>
    <row r="1293" spans="1:17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</row>
    <row r="1294" spans="1:17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</row>
    <row r="1295" spans="1:17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</row>
    <row r="1296" spans="1:17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</row>
    <row r="1297" spans="1:17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</row>
    <row r="1298" spans="1:17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</row>
    <row r="1299" spans="1:17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</row>
    <row r="1300" spans="1:17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</row>
    <row r="1301" spans="1:17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</row>
    <row r="1302" spans="1:17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</row>
    <row r="1303" spans="1:17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</row>
    <row r="1304" spans="1:17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</row>
    <row r="1305" spans="1:17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</row>
    <row r="1306" spans="1:17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</row>
    <row r="1307" spans="1:17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</row>
    <row r="1308" spans="1:17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</row>
    <row r="1309" spans="1:17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</row>
    <row r="1310" spans="1:17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</row>
    <row r="1311" spans="1:17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</row>
    <row r="1312" spans="1:17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</row>
    <row r="1313" spans="1:17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</row>
    <row r="1314" spans="1:17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</row>
    <row r="1315" spans="1:17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</row>
    <row r="1316" spans="1:17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</row>
    <row r="1317" spans="1:17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</row>
    <row r="1318" spans="1:17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</row>
    <row r="1319" spans="1:17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</row>
    <row r="1320" spans="1:17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</row>
    <row r="1321" spans="1:17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</row>
    <row r="1322" spans="1:17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</row>
    <row r="1323" spans="1:17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</row>
    <row r="1324" spans="1:17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</row>
    <row r="1325" spans="1:17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</row>
    <row r="1326" spans="1:17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</row>
    <row r="1327" spans="1:17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</row>
    <row r="1328" spans="1:17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</row>
    <row r="1329" spans="1:17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</row>
    <row r="1330" spans="1:17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</row>
    <row r="1331" spans="1:17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</row>
    <row r="1332" spans="1:17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</row>
    <row r="1333" spans="1:17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</row>
    <row r="1334" spans="1:17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</row>
    <row r="1335" spans="1:17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</row>
    <row r="1336" spans="1:17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</row>
    <row r="1337" spans="1:17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</row>
    <row r="1338" spans="1:17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</row>
    <row r="1339" spans="1:17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</row>
    <row r="1340" spans="1:17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</row>
    <row r="1341" spans="1:17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</row>
    <row r="1342" spans="1:17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</row>
    <row r="1343" spans="1:17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</row>
    <row r="1344" spans="1:17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</row>
    <row r="1345" spans="1:17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</row>
    <row r="1346" spans="1:17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</row>
    <row r="1347" spans="1:17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</row>
    <row r="1348" spans="1:17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</row>
    <row r="1349" spans="1:17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</row>
    <row r="1350" spans="1:17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</row>
    <row r="1351" spans="1:17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</row>
    <row r="1352" spans="1:17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</row>
    <row r="1353" spans="1:17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</row>
    <row r="1354" spans="1:17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</row>
    <row r="1355" spans="1:17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</row>
    <row r="1356" spans="1:17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</row>
    <row r="1357" spans="1:17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</row>
    <row r="1358" spans="1:17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</row>
    <row r="1359" spans="1:17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</row>
    <row r="1360" spans="1:17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</row>
    <row r="1361" spans="1:17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</row>
    <row r="1362" spans="1:17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</row>
    <row r="1363" spans="1:17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</row>
    <row r="1364" spans="1:17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</row>
    <row r="1365" spans="1:17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</row>
    <row r="1366" spans="1:17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</row>
    <row r="1367" spans="1:17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</row>
    <row r="1368" spans="1:17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</row>
    <row r="1369" spans="1:17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</row>
    <row r="1370" spans="1:17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</row>
    <row r="1371" spans="1:17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</row>
    <row r="1372" spans="1:17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</row>
    <row r="1373" spans="1:17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</row>
    <row r="1374" spans="1:17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</row>
    <row r="1375" spans="1:17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</row>
    <row r="1376" spans="1:17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</row>
    <row r="1377" spans="1:17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</row>
    <row r="1378" spans="1:17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</row>
    <row r="1379" spans="1:17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</row>
    <row r="1380" spans="1:17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</row>
    <row r="1381" spans="1:17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</row>
    <row r="1382" spans="1:17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</row>
    <row r="1383" spans="1:17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</row>
    <row r="1384" spans="1:17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</row>
    <row r="1385" spans="1:17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</row>
    <row r="1386" spans="1:17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</row>
    <row r="1387" spans="1:17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</row>
    <row r="1388" spans="1:17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</row>
    <row r="1389" spans="1:17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</row>
    <row r="1390" spans="1:17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</row>
    <row r="1391" spans="1:17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</row>
    <row r="1392" spans="1:17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</row>
    <row r="1393" spans="1:17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</row>
    <row r="1394" spans="1:17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</row>
    <row r="1395" spans="1:17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</row>
    <row r="1396" spans="1:17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</row>
    <row r="1397" spans="1:17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</row>
    <row r="1398" spans="1:17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</row>
    <row r="1399" spans="1:17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</row>
    <row r="1400" spans="1:17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</row>
    <row r="1401" spans="1:17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</row>
    <row r="1402" spans="1:17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</row>
    <row r="1403" spans="1:17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</row>
    <row r="1404" spans="1:17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</row>
    <row r="1405" spans="1:17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</row>
    <row r="1406" spans="1:17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</row>
    <row r="1407" spans="1:17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</row>
    <row r="1408" spans="1:17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</row>
    <row r="1409" spans="1:17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</row>
    <row r="1410" spans="1:17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</row>
    <row r="1411" spans="1:17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</row>
  </sheetData>
  <mergeCells count="2">
    <mergeCell ref="H1:I1"/>
    <mergeCell ref="J1:K1"/>
  </mergeCells>
  <phoneticPr fontId="1"/>
  <conditionalFormatting sqref="B2:B24 D2:D24 L2:M24">
    <cfRule type="expression" dxfId="20" priority="1" stopIfTrue="1">
      <formula>AND($A2&lt;&gt;"",B2="")</formula>
    </cfRule>
  </conditionalFormatting>
  <conditionalFormatting sqref="E22">
    <cfRule type="containsBlanks" dxfId="19" priority="2" stopIfTrue="1">
      <formula>LEN(TRIM(E22))=0</formula>
    </cfRule>
  </conditionalFormatting>
  <conditionalFormatting sqref="F2:G2 F12:G12 G14 F15:G15 G16 F17:G17 G18">
    <cfRule type="containsBlanks" dxfId="18" priority="3" stopIfTrue="1">
      <formula>LEN(TRIM(F2))=0</formula>
    </cfRule>
  </conditionalFormatting>
  <conditionalFormatting sqref="H3:H4 J3:J4 H11 J11 H20 J20">
    <cfRule type="containsBlanks" dxfId="17" priority="4" stopIfTrue="1">
      <formula>LEN(TRIM(H3))=0</formula>
    </cfRule>
  </conditionalFormatting>
  <conditionalFormatting sqref="B25:B54 D25:D54 L25:M54">
    <cfRule type="expression" dxfId="0" priority="5" stopIfTrue="1">
      <formula>AND($A25&lt;&gt;"",B25="")</formula>
    </cfRule>
  </conditionalFormatting>
  <dataValidations count="14">
    <dataValidation imeMode="on" allowBlank="1" showInputMessage="1" showErrorMessage="1" sqref="M1412:M1048576 M1 A1 A1412:A1048576" xr:uid="{82371562-DA48-418A-B9E1-F875CA10CC30}"/>
    <dataValidation imeMode="off" allowBlank="1" showInputMessage="1" showErrorMessage="1" sqref="E1:H1 L1 J1 E1412:L1048576 B1 B1412:B1048576" xr:uid="{A44170C6-B920-46F2-AEA3-D4E9954343F7}"/>
    <dataValidation type="list" allowBlank="1" showInputMessage="1" showErrorMessage="1" sqref="D2:D24 D25:D54" xr:uid="{6091F766-549A-4FBC-838C-8FA76185EF42}">
      <formula1>ドメインタイプKEY</formula1>
    </dataValidation>
    <dataValidation imeMode="on" allowBlank="1" showInputMessage="1" showErrorMessage="1" sqref="M2:M24 A2:A24" xr:uid="{C50A5B30-EDF6-4575-A9BB-00AEB2D091E1}"/>
    <dataValidation imeMode="off" allowBlank="1" showInputMessage="1" showErrorMessage="1" sqref="B2:B24" xr:uid="{193AD153-5E90-4EB8-9348-A7EA0F98F04B}"/>
    <dataValidation imeMode="off" allowBlank="1" showInputMessage="1" showErrorMessage="1" sqref="E22" xr:uid="{DA8803EF-D17E-4E3E-878A-0E4CAF23A66B}"/>
    <dataValidation imeMode="off" allowBlank="1" showInputMessage="1" showErrorMessage="1" sqref="E7 E14 E16 E18" xr:uid="{F98FC928-6D9A-4BCA-BDC3-EAAF4374C7CE}"/>
    <dataValidation type="whole" imeMode="off" allowBlank="1" showInputMessage="1" showErrorMessage="1" error="0-1000の間で入力可能" sqref="F2:G2 F12:G12 G14 F15:G15 G16 F17:G17 G18" xr:uid="{159552A0-D714-4B6D-A08B-32709ECBA423}">
      <formula1>0</formula1>
      <formula2>1000</formula2>
    </dataValidation>
    <dataValidation type="whole" imeMode="off" allowBlank="1" showInputMessage="1" showErrorMessage="1" error="0-1000の間で入力可能" sqref="F6:F7 F9 F14 F16 F18 F24" xr:uid="{97A1D495-DEA3-4491-82FD-9E38812CDCDE}">
      <formula1>0</formula1>
      <formula2>1000</formula2>
    </dataValidation>
    <dataValidation type="whole" imeMode="off" allowBlank="1" showInputMessage="1" showErrorMessage="1" error="数値のみ入力可能" sqref="H3:H4 J3:J4 H11 J11 H20 J20" xr:uid="{4ACAA85C-9A27-4361-B4B7-A1EB80EED4E1}">
      <formula1>-99999999</formula1>
      <formula2>99999999</formula2>
    </dataValidation>
    <dataValidation type="list" imeMode="off" allowBlank="1" showInputMessage="1" showErrorMessage="1" error="1(値を含む)のみ入力可能" sqref="I3:I4 K3:K4 I11 K11 I20 K20" xr:uid="{9E0FEC81-2BB9-4BDB-951E-D2CDEE14DC5D}">
      <formula1>"1"</formula1>
    </dataValidation>
    <dataValidation type="textLength" imeMode="off" operator="equal" allowBlank="1" showInputMessage="1" showErrorMessage="1" error="入力不可項目です" sqref="H2:K2 F3:G5 E2:E6 H5:K6 G7:K7 E8:K8 H9:K9 F10:K10 F11:G11 H12:K12 E9:E13 F13:K13 E15 E17 H14:K18 E19:K19 E20:G21 H21:K21 F22:K22 E23:K23 E24 H24:K24" xr:uid="{750FA32C-9143-4A97-8BB2-A4BB132461EB}">
      <formula1>0</formula1>
    </dataValidation>
    <dataValidation imeMode="on" allowBlank="1" showInputMessage="1" showErrorMessage="1" sqref="A25:A54 M25:M54" xr:uid="{3BD3347F-79C0-4109-8A7A-8F34388D2E92}"/>
    <dataValidation imeMode="off" allowBlank="1" showInputMessage="1" showErrorMessage="1" sqref="B25:B54" xr:uid="{BE12FA95-F13C-4D5A-B951-2522C0F8E933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355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79</v>
      </c>
      <c r="B1" s="28" t="s">
        <v>78</v>
      </c>
      <c r="C1" s="19" t="s">
        <v>71</v>
      </c>
      <c r="D1" s="19" t="s">
        <v>72</v>
      </c>
      <c r="E1" s="22" t="s">
        <v>6</v>
      </c>
    </row>
    <row r="2" spans="1:5" x14ac:dyDescent="0.55000000000000004">
      <c r="A2" s="44" t="s">
        <v>86</v>
      </c>
      <c r="B2" s="44" t="s">
        <v>98</v>
      </c>
      <c r="C2" s="44" t="s">
        <v>115</v>
      </c>
      <c r="D2" s="26" t="str">
        <f t="shared" ref="D2:D35" si="0">camel2snake(C2)</f>
        <v>campane_price</v>
      </c>
      <c r="E2" s="44" t="s">
        <v>99</v>
      </c>
    </row>
    <row r="3" spans="1:5" x14ac:dyDescent="0.55000000000000004">
      <c r="A3" s="44" t="s">
        <v>139</v>
      </c>
      <c r="B3" s="44" t="s">
        <v>152</v>
      </c>
      <c r="C3" s="44" t="s">
        <v>153</v>
      </c>
      <c r="D3" s="26" t="str">
        <f t="shared" si="0"/>
        <v>order_pic</v>
      </c>
      <c r="E3" s="44" t="s">
        <v>155</v>
      </c>
    </row>
    <row r="4" spans="1:5" x14ac:dyDescent="0.55000000000000004">
      <c r="A4" s="44" t="s">
        <v>139</v>
      </c>
      <c r="B4" s="44" t="s">
        <v>154</v>
      </c>
      <c r="C4" s="44" t="s">
        <v>199</v>
      </c>
      <c r="D4" s="26" t="str">
        <f t="shared" si="0"/>
        <v>product_pic</v>
      </c>
      <c r="E4" s="44" t="s">
        <v>156</v>
      </c>
    </row>
    <row r="5" spans="1:5" x14ac:dyDescent="0.55000000000000004">
      <c r="A5" s="51" t="s">
        <v>132</v>
      </c>
      <c r="B5" s="51" t="s">
        <v>200</v>
      </c>
      <c r="C5" s="51" t="s">
        <v>201</v>
      </c>
      <c r="D5" s="38" t="str">
        <f t="shared" si="0"/>
        <v>salese_department</v>
      </c>
      <c r="E5" s="51" t="s">
        <v>200</v>
      </c>
    </row>
    <row r="6" spans="1:5" x14ac:dyDescent="0.55000000000000004">
      <c r="A6" s="44"/>
      <c r="B6" s="44"/>
      <c r="C6" s="44"/>
      <c r="D6" s="26" t="str">
        <f t="shared" ref="D6:D35" si="1">camel2snake(C6)</f>
        <v/>
      </c>
      <c r="E6" s="44"/>
    </row>
    <row r="7" spans="1:5" x14ac:dyDescent="0.55000000000000004">
      <c r="A7" s="44"/>
      <c r="B7" s="44"/>
      <c r="C7" s="44"/>
      <c r="D7" s="26" t="str">
        <f t="shared" si="1"/>
        <v/>
      </c>
      <c r="E7" s="44"/>
    </row>
    <row r="8" spans="1:5" x14ac:dyDescent="0.55000000000000004">
      <c r="A8" s="44"/>
      <c r="B8" s="44"/>
      <c r="C8" s="44"/>
      <c r="D8" s="26" t="str">
        <f t="shared" si="1"/>
        <v/>
      </c>
      <c r="E8" s="44"/>
    </row>
    <row r="9" spans="1:5" x14ac:dyDescent="0.55000000000000004">
      <c r="A9" s="44"/>
      <c r="B9" s="44"/>
      <c r="C9" s="44"/>
      <c r="D9" s="26" t="str">
        <f t="shared" si="1"/>
        <v/>
      </c>
      <c r="E9" s="44"/>
    </row>
    <row r="10" spans="1:5" x14ac:dyDescent="0.55000000000000004">
      <c r="A10" s="44"/>
      <c r="B10" s="44"/>
      <c r="C10" s="44"/>
      <c r="D10" s="26" t="str">
        <f t="shared" si="1"/>
        <v/>
      </c>
      <c r="E10" s="44"/>
    </row>
    <row r="11" spans="1:5" x14ac:dyDescent="0.55000000000000004">
      <c r="A11" s="44"/>
      <c r="B11" s="44"/>
      <c r="C11" s="44"/>
      <c r="D11" s="26" t="str">
        <f t="shared" si="1"/>
        <v/>
      </c>
      <c r="E11" s="44"/>
    </row>
    <row r="12" spans="1:5" x14ac:dyDescent="0.55000000000000004">
      <c r="A12" s="44"/>
      <c r="B12" s="44"/>
      <c r="C12" s="44"/>
      <c r="D12" s="26" t="str">
        <f t="shared" si="1"/>
        <v/>
      </c>
      <c r="E12" s="44"/>
    </row>
    <row r="13" spans="1:5" x14ac:dyDescent="0.55000000000000004">
      <c r="A13" s="44"/>
      <c r="B13" s="44"/>
      <c r="C13" s="44"/>
      <c r="D13" s="26" t="str">
        <f t="shared" si="1"/>
        <v/>
      </c>
      <c r="E13" s="44"/>
    </row>
    <row r="14" spans="1:5" x14ac:dyDescent="0.55000000000000004">
      <c r="A14" s="44"/>
      <c r="B14" s="44"/>
      <c r="C14" s="44"/>
      <c r="D14" s="26" t="str">
        <f t="shared" si="1"/>
        <v/>
      </c>
      <c r="E14" s="44"/>
    </row>
    <row r="15" spans="1:5" x14ac:dyDescent="0.55000000000000004">
      <c r="A15" s="44"/>
      <c r="B15" s="44"/>
      <c r="C15" s="44"/>
      <c r="D15" s="26" t="str">
        <f t="shared" si="1"/>
        <v/>
      </c>
      <c r="E15" s="44"/>
    </row>
    <row r="16" spans="1:5" x14ac:dyDescent="0.55000000000000004">
      <c r="A16" s="44"/>
      <c r="B16" s="44"/>
      <c r="C16" s="44"/>
      <c r="D16" s="26" t="str">
        <f t="shared" si="1"/>
        <v/>
      </c>
      <c r="E16" s="44"/>
    </row>
    <row r="17" spans="1:5" x14ac:dyDescent="0.55000000000000004">
      <c r="A17" s="44"/>
      <c r="B17" s="44"/>
      <c r="C17" s="44"/>
      <c r="D17" s="26" t="str">
        <f t="shared" si="1"/>
        <v/>
      </c>
      <c r="E17" s="44"/>
    </row>
    <row r="18" spans="1:5" x14ac:dyDescent="0.55000000000000004">
      <c r="A18" s="44"/>
      <c r="B18" s="44"/>
      <c r="C18" s="44"/>
      <c r="D18" s="26" t="str">
        <f t="shared" si="1"/>
        <v/>
      </c>
      <c r="E18" s="44"/>
    </row>
    <row r="19" spans="1:5" x14ac:dyDescent="0.55000000000000004">
      <c r="A19" s="44"/>
      <c r="B19" s="44"/>
      <c r="C19" s="44"/>
      <c r="D19" s="26" t="str">
        <f t="shared" si="1"/>
        <v/>
      </c>
      <c r="E19" s="44"/>
    </row>
    <row r="20" spans="1:5" x14ac:dyDescent="0.55000000000000004">
      <c r="A20" s="44"/>
      <c r="B20" s="44"/>
      <c r="C20" s="44"/>
      <c r="D20" s="26" t="str">
        <f t="shared" si="1"/>
        <v/>
      </c>
      <c r="E20" s="44"/>
    </row>
    <row r="21" spans="1:5" x14ac:dyDescent="0.55000000000000004">
      <c r="A21" s="44"/>
      <c r="B21" s="44"/>
      <c r="C21" s="44"/>
      <c r="D21" s="26" t="str">
        <f t="shared" si="1"/>
        <v/>
      </c>
      <c r="E21" s="44"/>
    </row>
    <row r="22" spans="1:5" x14ac:dyDescent="0.55000000000000004">
      <c r="A22" s="44"/>
      <c r="B22" s="44"/>
      <c r="C22" s="44"/>
      <c r="D22" s="26" t="str">
        <f t="shared" si="1"/>
        <v/>
      </c>
      <c r="E22" s="44"/>
    </row>
    <row r="23" spans="1:5" x14ac:dyDescent="0.55000000000000004">
      <c r="A23" s="44"/>
      <c r="B23" s="44"/>
      <c r="C23" s="44"/>
      <c r="D23" s="26" t="str">
        <f t="shared" si="1"/>
        <v/>
      </c>
      <c r="E23" s="44"/>
    </row>
    <row r="24" spans="1:5" x14ac:dyDescent="0.55000000000000004">
      <c r="A24" s="44"/>
      <c r="B24" s="44"/>
      <c r="C24" s="44"/>
      <c r="D24" s="26" t="str">
        <f t="shared" si="1"/>
        <v/>
      </c>
      <c r="E24" s="44"/>
    </row>
    <row r="25" spans="1:5" x14ac:dyDescent="0.55000000000000004">
      <c r="A25" s="44"/>
      <c r="B25" s="44"/>
      <c r="C25" s="44"/>
      <c r="D25" s="26" t="str">
        <f t="shared" si="1"/>
        <v/>
      </c>
      <c r="E25" s="44"/>
    </row>
    <row r="26" spans="1:5" x14ac:dyDescent="0.55000000000000004">
      <c r="A26" s="44"/>
      <c r="B26" s="44"/>
      <c r="C26" s="44"/>
      <c r="D26" s="26" t="str">
        <f t="shared" si="1"/>
        <v/>
      </c>
      <c r="E26" s="44"/>
    </row>
    <row r="27" spans="1:5" x14ac:dyDescent="0.55000000000000004">
      <c r="A27" s="44"/>
      <c r="B27" s="44"/>
      <c r="C27" s="44"/>
      <c r="D27" s="26" t="str">
        <f t="shared" si="1"/>
        <v/>
      </c>
      <c r="E27" s="44"/>
    </row>
    <row r="28" spans="1:5" x14ac:dyDescent="0.55000000000000004">
      <c r="A28" s="44"/>
      <c r="B28" s="44"/>
      <c r="C28" s="44"/>
      <c r="D28" s="26" t="str">
        <f t="shared" si="1"/>
        <v/>
      </c>
      <c r="E28" s="44"/>
    </row>
    <row r="29" spans="1:5" x14ac:dyDescent="0.55000000000000004">
      <c r="A29" s="44"/>
      <c r="B29" s="44"/>
      <c r="C29" s="44"/>
      <c r="D29" s="26" t="str">
        <f t="shared" si="1"/>
        <v/>
      </c>
      <c r="E29" s="44"/>
    </row>
    <row r="30" spans="1:5" x14ac:dyDescent="0.55000000000000004">
      <c r="A30" s="44"/>
      <c r="B30" s="44"/>
      <c r="C30" s="44"/>
      <c r="D30" s="26" t="str">
        <f t="shared" si="1"/>
        <v/>
      </c>
      <c r="E30" s="44"/>
    </row>
    <row r="31" spans="1:5" x14ac:dyDescent="0.55000000000000004">
      <c r="A31" s="44"/>
      <c r="B31" s="44"/>
      <c r="C31" s="44"/>
      <c r="D31" s="26" t="str">
        <f t="shared" si="1"/>
        <v/>
      </c>
      <c r="E31" s="44"/>
    </row>
    <row r="32" spans="1:5" x14ac:dyDescent="0.55000000000000004">
      <c r="A32" s="44"/>
      <c r="B32" s="44"/>
      <c r="C32" s="44"/>
      <c r="D32" s="26" t="str">
        <f t="shared" si="1"/>
        <v/>
      </c>
      <c r="E32" s="44"/>
    </row>
    <row r="33" spans="1:5" x14ac:dyDescent="0.55000000000000004">
      <c r="A33" s="44"/>
      <c r="B33" s="44"/>
      <c r="C33" s="44"/>
      <c r="D33" s="26" t="str">
        <f t="shared" si="1"/>
        <v/>
      </c>
      <c r="E33" s="44"/>
    </row>
    <row r="34" spans="1:5" x14ac:dyDescent="0.55000000000000004">
      <c r="A34" s="44"/>
      <c r="B34" s="44"/>
      <c r="C34" s="44"/>
      <c r="D34" s="26" t="str">
        <f t="shared" si="1"/>
        <v/>
      </c>
      <c r="E34" s="44"/>
    </row>
    <row r="35" spans="1:5" x14ac:dyDescent="0.55000000000000004">
      <c r="A35" s="45"/>
      <c r="B35" s="45"/>
      <c r="C35" s="45"/>
      <c r="D35" s="27" t="str">
        <f t="shared" si="1"/>
        <v/>
      </c>
      <c r="E35" s="45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</sheetData>
  <phoneticPr fontId="1"/>
  <conditionalFormatting sqref="A2:A5">
    <cfRule type="expression" dxfId="16" priority="1" stopIfTrue="1">
      <formula>AND(A2&lt;&gt;"",ISNA(MATCH(A2,項目リスト,0)))</formula>
    </cfRule>
  </conditionalFormatting>
  <conditionalFormatting sqref="B2:C5 E2:E5">
    <cfRule type="expression" dxfId="15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E2A53BFD-6D4A-4B45-8234-A2E00F4C019D}"/>
    <dataValidation imeMode="off" allowBlank="1" showInputMessage="1" showErrorMessage="1" sqref="C2:C5" xr:uid="{EE954C55-C9A7-4CE3-BF1F-75EDE04DB7F9}"/>
    <dataValidation imeMode="on" allowBlank="1" showInputMessage="1" showErrorMessage="1" sqref="B6:B35 E6:E35" xr:uid="{58638544-CDA5-4348-9B4E-9CA299FD0AC2}"/>
    <dataValidation imeMode="off" allowBlank="1" showInputMessage="1" showErrorMessage="1" sqref="C6:C35" xr:uid="{5E475F19-A5AE-4C1C-83AF-7B8C65188793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494"/>
  <sheetViews>
    <sheetView showGridLines="0" workbookViewId="0">
      <pane ySplit="1" topLeftCell="A2" activePane="bottomLeft" state="frozen"/>
      <selection activeCell="E5" sqref="E5"/>
      <selection pane="bottomLeft" activeCell="B12" sqref="B12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84</v>
      </c>
      <c r="B1" s="31" t="s">
        <v>10</v>
      </c>
      <c r="C1" s="19" t="s">
        <v>130</v>
      </c>
      <c r="D1" s="22" t="s">
        <v>6</v>
      </c>
    </row>
    <row r="2" spans="1:4" x14ac:dyDescent="0.55000000000000004">
      <c r="A2" s="44" t="s">
        <v>100</v>
      </c>
      <c r="B2" s="44" t="s">
        <v>127</v>
      </c>
      <c r="C2" s="44" t="s">
        <v>104</v>
      </c>
      <c r="D2" s="44" t="s">
        <v>105</v>
      </c>
    </row>
    <row r="3" spans="1:4" x14ac:dyDescent="0.55000000000000004">
      <c r="A3" s="44" t="s">
        <v>100</v>
      </c>
      <c r="B3" s="44" t="s">
        <v>131</v>
      </c>
      <c r="C3" s="44" t="s">
        <v>103</v>
      </c>
      <c r="D3" s="44" t="s">
        <v>106</v>
      </c>
    </row>
    <row r="4" spans="1:4" x14ac:dyDescent="0.55000000000000004">
      <c r="A4" s="44" t="s">
        <v>100</v>
      </c>
      <c r="B4" s="44" t="s">
        <v>128</v>
      </c>
      <c r="C4" s="44" t="s">
        <v>107</v>
      </c>
      <c r="D4" s="44" t="s">
        <v>110</v>
      </c>
    </row>
    <row r="5" spans="1:4" x14ac:dyDescent="0.55000000000000004">
      <c r="A5" s="44" t="s">
        <v>100</v>
      </c>
      <c r="B5" s="44" t="s">
        <v>129</v>
      </c>
      <c r="C5" s="44" t="s">
        <v>108</v>
      </c>
      <c r="D5" s="44" t="s">
        <v>109</v>
      </c>
    </row>
    <row r="6" spans="1:4" x14ac:dyDescent="0.55000000000000004">
      <c r="A6" s="44" t="s">
        <v>132</v>
      </c>
      <c r="B6" s="44" t="s">
        <v>157</v>
      </c>
      <c r="C6" s="44" t="s">
        <v>158</v>
      </c>
      <c r="D6" s="44" t="s">
        <v>159</v>
      </c>
    </row>
    <row r="7" spans="1:4" x14ac:dyDescent="0.55000000000000004">
      <c r="A7" s="44" t="s">
        <v>132</v>
      </c>
      <c r="B7" s="44" t="s">
        <v>160</v>
      </c>
      <c r="C7" s="44" t="s">
        <v>161</v>
      </c>
      <c r="D7" s="44" t="s">
        <v>162</v>
      </c>
    </row>
    <row r="8" spans="1:4" x14ac:dyDescent="0.55000000000000004">
      <c r="A8" s="44" t="s">
        <v>132</v>
      </c>
      <c r="B8" s="44" t="s">
        <v>163</v>
      </c>
      <c r="C8" s="44" t="s">
        <v>164</v>
      </c>
      <c r="D8" s="44" t="s">
        <v>165</v>
      </c>
    </row>
    <row r="9" spans="1:4" x14ac:dyDescent="0.55000000000000004">
      <c r="A9" s="44" t="s">
        <v>132</v>
      </c>
      <c r="B9" s="44" t="s">
        <v>166</v>
      </c>
      <c r="C9" s="44" t="s">
        <v>167</v>
      </c>
      <c r="D9" s="44" t="s">
        <v>168</v>
      </c>
    </row>
    <row r="10" spans="1:4" x14ac:dyDescent="0.55000000000000004">
      <c r="A10" s="44" t="s">
        <v>132</v>
      </c>
      <c r="B10" s="44" t="s">
        <v>169</v>
      </c>
      <c r="C10" s="44" t="s">
        <v>170</v>
      </c>
      <c r="D10" s="44" t="s">
        <v>171</v>
      </c>
    </row>
    <row r="11" spans="1:4" x14ac:dyDescent="0.55000000000000004">
      <c r="A11" s="44" t="s">
        <v>208</v>
      </c>
      <c r="B11" s="44" t="s">
        <v>215</v>
      </c>
      <c r="C11" s="44" t="s">
        <v>216</v>
      </c>
      <c r="D11" s="44" t="s">
        <v>216</v>
      </c>
    </row>
    <row r="12" spans="1:4" x14ac:dyDescent="0.55000000000000004">
      <c r="A12" s="44" t="s">
        <v>208</v>
      </c>
      <c r="B12" s="44" t="s">
        <v>213</v>
      </c>
      <c r="C12" s="44" t="s">
        <v>103</v>
      </c>
      <c r="D12" s="44" t="s">
        <v>217</v>
      </c>
    </row>
    <row r="13" spans="1:4" x14ac:dyDescent="0.55000000000000004">
      <c r="A13" s="44" t="s">
        <v>208</v>
      </c>
      <c r="B13" s="44" t="s">
        <v>218</v>
      </c>
      <c r="C13" s="44" t="s">
        <v>219</v>
      </c>
      <c r="D13" s="44" t="s">
        <v>219</v>
      </c>
    </row>
    <row r="14" spans="1:4" x14ac:dyDescent="0.55000000000000004">
      <c r="A14" s="51" t="s">
        <v>208</v>
      </c>
      <c r="B14" s="51" t="s">
        <v>220</v>
      </c>
      <c r="C14" s="51" t="s">
        <v>221</v>
      </c>
      <c r="D14" s="51" t="s">
        <v>221</v>
      </c>
    </row>
    <row r="15" spans="1:4" x14ac:dyDescent="0.55000000000000004">
      <c r="A15" s="44"/>
      <c r="B15" s="44"/>
      <c r="C15" s="44"/>
      <c r="D15" s="44"/>
    </row>
    <row r="16" spans="1:4" x14ac:dyDescent="0.55000000000000004">
      <c r="A16" s="44"/>
      <c r="B16" s="44"/>
      <c r="C16" s="44"/>
      <c r="D16" s="44"/>
    </row>
    <row r="17" spans="1:4" x14ac:dyDescent="0.55000000000000004">
      <c r="A17" s="44"/>
      <c r="B17" s="44"/>
      <c r="C17" s="44"/>
      <c r="D17" s="44"/>
    </row>
    <row r="18" spans="1:4" x14ac:dyDescent="0.55000000000000004">
      <c r="A18" s="44"/>
      <c r="B18" s="44"/>
      <c r="C18" s="44"/>
      <c r="D18" s="44"/>
    </row>
    <row r="19" spans="1:4" x14ac:dyDescent="0.55000000000000004">
      <c r="A19" s="44"/>
      <c r="B19" s="44"/>
      <c r="C19" s="44"/>
      <c r="D19" s="44"/>
    </row>
    <row r="20" spans="1:4" x14ac:dyDescent="0.55000000000000004">
      <c r="A20" s="44"/>
      <c r="B20" s="44"/>
      <c r="C20" s="44"/>
      <c r="D20" s="44"/>
    </row>
    <row r="21" spans="1:4" x14ac:dyDescent="0.55000000000000004">
      <c r="A21" s="44"/>
      <c r="B21" s="44"/>
      <c r="C21" s="44"/>
      <c r="D21" s="44"/>
    </row>
    <row r="22" spans="1:4" x14ac:dyDescent="0.55000000000000004">
      <c r="A22" s="44"/>
      <c r="B22" s="44"/>
      <c r="C22" s="44"/>
      <c r="D22" s="44"/>
    </row>
    <row r="23" spans="1:4" x14ac:dyDescent="0.55000000000000004">
      <c r="A23" s="44"/>
      <c r="B23" s="44"/>
      <c r="C23" s="44"/>
      <c r="D23" s="44"/>
    </row>
    <row r="24" spans="1:4" x14ac:dyDescent="0.55000000000000004">
      <c r="A24" s="44"/>
      <c r="B24" s="44"/>
      <c r="C24" s="44"/>
      <c r="D24" s="44"/>
    </row>
    <row r="25" spans="1:4" x14ac:dyDescent="0.55000000000000004">
      <c r="A25" s="44"/>
      <c r="B25" s="44"/>
      <c r="C25" s="44"/>
      <c r="D25" s="44"/>
    </row>
    <row r="26" spans="1:4" x14ac:dyDescent="0.55000000000000004">
      <c r="A26" s="44"/>
      <c r="B26" s="44"/>
      <c r="C26" s="44"/>
      <c r="D26" s="44"/>
    </row>
    <row r="27" spans="1:4" x14ac:dyDescent="0.55000000000000004">
      <c r="A27" s="44"/>
      <c r="B27" s="44"/>
      <c r="C27" s="44"/>
      <c r="D27" s="44"/>
    </row>
    <row r="28" spans="1:4" x14ac:dyDescent="0.55000000000000004">
      <c r="A28" s="44"/>
      <c r="B28" s="44"/>
      <c r="C28" s="44"/>
      <c r="D28" s="44"/>
    </row>
    <row r="29" spans="1:4" x14ac:dyDescent="0.55000000000000004">
      <c r="A29" s="44"/>
      <c r="B29" s="44"/>
      <c r="C29" s="44"/>
      <c r="D29" s="44"/>
    </row>
    <row r="30" spans="1:4" x14ac:dyDescent="0.55000000000000004">
      <c r="A30" s="44"/>
      <c r="B30" s="44"/>
      <c r="C30" s="44"/>
      <c r="D30" s="44"/>
    </row>
    <row r="31" spans="1:4" x14ac:dyDescent="0.55000000000000004">
      <c r="A31" s="44"/>
      <c r="B31" s="44"/>
      <c r="C31" s="44"/>
      <c r="D31" s="44"/>
    </row>
    <row r="32" spans="1:4" x14ac:dyDescent="0.55000000000000004">
      <c r="A32" s="44"/>
      <c r="B32" s="44"/>
      <c r="C32" s="44"/>
      <c r="D32" s="44"/>
    </row>
    <row r="33" spans="1:4" x14ac:dyDescent="0.55000000000000004">
      <c r="A33" s="44"/>
      <c r="B33" s="44"/>
      <c r="C33" s="44"/>
      <c r="D33" s="44"/>
    </row>
    <row r="34" spans="1:4" x14ac:dyDescent="0.55000000000000004">
      <c r="A34" s="44"/>
      <c r="B34" s="44"/>
      <c r="C34" s="44"/>
      <c r="D34" s="44"/>
    </row>
    <row r="35" spans="1:4" x14ac:dyDescent="0.55000000000000004">
      <c r="A35" s="44"/>
      <c r="B35" s="44"/>
      <c r="C35" s="44"/>
      <c r="D35" s="44"/>
    </row>
    <row r="36" spans="1:4" x14ac:dyDescent="0.55000000000000004">
      <c r="A36" s="44"/>
      <c r="B36" s="44"/>
      <c r="C36" s="44"/>
      <c r="D36" s="44"/>
    </row>
    <row r="37" spans="1:4" x14ac:dyDescent="0.55000000000000004">
      <c r="A37" s="44"/>
      <c r="B37" s="44"/>
      <c r="C37" s="44"/>
      <c r="D37" s="44"/>
    </row>
    <row r="38" spans="1:4" x14ac:dyDescent="0.55000000000000004">
      <c r="A38" s="44"/>
      <c r="B38" s="44"/>
      <c r="C38" s="44"/>
      <c r="D38" s="44"/>
    </row>
    <row r="39" spans="1:4" x14ac:dyDescent="0.55000000000000004">
      <c r="A39" s="44"/>
      <c r="B39" s="44"/>
      <c r="C39" s="44"/>
      <c r="D39" s="44"/>
    </row>
    <row r="40" spans="1:4" x14ac:dyDescent="0.55000000000000004">
      <c r="A40" s="44"/>
      <c r="B40" s="44"/>
      <c r="C40" s="44"/>
      <c r="D40" s="44"/>
    </row>
    <row r="41" spans="1:4" x14ac:dyDescent="0.55000000000000004">
      <c r="A41" s="44"/>
      <c r="B41" s="44"/>
      <c r="C41" s="44"/>
      <c r="D41" s="44"/>
    </row>
    <row r="42" spans="1:4" x14ac:dyDescent="0.55000000000000004">
      <c r="A42" s="44"/>
      <c r="B42" s="44"/>
      <c r="C42" s="44"/>
      <c r="D42" s="44"/>
    </row>
    <row r="43" spans="1:4" x14ac:dyDescent="0.55000000000000004">
      <c r="A43" s="44"/>
      <c r="B43" s="44"/>
      <c r="C43" s="44"/>
      <c r="D43" s="44"/>
    </row>
    <row r="44" spans="1:4" x14ac:dyDescent="0.55000000000000004">
      <c r="A44" s="45"/>
      <c r="B44" s="45"/>
      <c r="C44" s="45"/>
      <c r="D44" s="45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</sheetData>
  <phoneticPr fontId="1"/>
  <conditionalFormatting sqref="A2:A14">
    <cfRule type="expression" dxfId="14" priority="1" stopIfTrue="1">
      <formula>AND(A2&lt;&gt;"",ISNA(MATCH(A2,区分値リスト,0)))</formula>
    </cfRule>
  </conditionalFormatting>
  <conditionalFormatting sqref="B2:D14">
    <cfRule type="expression" dxfId="13" priority="2" stopIfTrue="1">
      <formula>AND($A2&lt;&gt;"",B2="")</formula>
    </cfRule>
  </conditionalFormatting>
  <conditionalFormatting sqref="A15:A44">
    <cfRule type="expression" dxfId="7" priority="3" stopIfTrue="1">
      <formula>AND(A15&lt;&gt;"",ISNA(MATCH(A15,区分値リスト,0)))</formula>
    </cfRule>
  </conditionalFormatting>
  <conditionalFormatting sqref="B15:D44">
    <cfRule type="expression" dxfId="6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171EEC48-5874-45C6-8FDE-5D2DB1884E38}"/>
    <dataValidation imeMode="off" allowBlank="1" showInputMessage="1" showErrorMessage="1" sqref="B2:B14" xr:uid="{30229F39-4816-40FA-8B73-8F9CFD319A66}"/>
    <dataValidation imeMode="on" allowBlank="1" showInputMessage="1" showErrorMessage="1" sqref="C15:D44" xr:uid="{CB1F4AA4-3E62-44C2-8F63-7F057C937624}"/>
    <dataValidation imeMode="off" allowBlank="1" showInputMessage="1" showErrorMessage="1" sqref="B15:B44" xr:uid="{85A62032-BA5E-4737-8C43-F8DD1CF99992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5" activePane="bottomLeft" state="frozen"/>
      <selection pane="bottomLeft" activeCell="G18" sqref="G18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58</v>
      </c>
      <c r="C1" s="15" t="s">
        <v>59</v>
      </c>
      <c r="D1" s="15" t="s">
        <v>60</v>
      </c>
      <c r="E1" s="15" t="s">
        <v>61</v>
      </c>
      <c r="F1" s="15" t="s">
        <v>62</v>
      </c>
      <c r="G1" s="15" t="s">
        <v>62</v>
      </c>
      <c r="H1" s="16" t="s">
        <v>1</v>
      </c>
      <c r="I1" s="16" t="s">
        <v>2</v>
      </c>
      <c r="J1" s="16" t="s">
        <v>3</v>
      </c>
      <c r="K1" s="15" t="s">
        <v>75</v>
      </c>
      <c r="L1" s="15" t="s">
        <v>63</v>
      </c>
      <c r="M1" s="16" t="s">
        <v>6</v>
      </c>
      <c r="N1" s="17" t="s">
        <v>12</v>
      </c>
    </row>
    <row r="2" spans="1:14" ht="45" x14ac:dyDescent="0.55000000000000004">
      <c r="A2" s="2" t="s">
        <v>9</v>
      </c>
      <c r="B2" s="2" t="s">
        <v>9</v>
      </c>
      <c r="C2" s="2" t="s">
        <v>37</v>
      </c>
      <c r="D2" s="2" t="s">
        <v>26</v>
      </c>
      <c r="E2" s="2" t="s">
        <v>37</v>
      </c>
      <c r="F2" s="2" t="s">
        <v>39</v>
      </c>
      <c r="G2" s="2" t="s">
        <v>37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66</v>
      </c>
      <c r="N2" s="2" t="s">
        <v>18</v>
      </c>
    </row>
    <row r="3" spans="1:14" ht="45" x14ac:dyDescent="0.55000000000000004">
      <c r="A3" s="5" t="s">
        <v>8</v>
      </c>
      <c r="B3" s="5" t="s">
        <v>26</v>
      </c>
      <c r="C3" s="5" t="s">
        <v>33</v>
      </c>
      <c r="D3" s="5" t="s">
        <v>26</v>
      </c>
      <c r="E3" s="5" t="s">
        <v>40</v>
      </c>
      <c r="F3" s="5" t="s">
        <v>39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65</v>
      </c>
      <c r="N3" s="5" t="s">
        <v>17</v>
      </c>
    </row>
    <row r="4" spans="1:14" ht="45" x14ac:dyDescent="0.55000000000000004">
      <c r="A4" s="5" t="s">
        <v>7</v>
      </c>
      <c r="B4" s="5" t="s">
        <v>27</v>
      </c>
      <c r="C4" s="5" t="s">
        <v>32</v>
      </c>
      <c r="D4" s="5" t="s">
        <v>41</v>
      </c>
      <c r="E4" s="5" t="s">
        <v>42</v>
      </c>
      <c r="F4" s="5" t="s">
        <v>43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64</v>
      </c>
      <c r="N4" s="5" t="s">
        <v>16</v>
      </c>
    </row>
    <row r="5" spans="1:14" ht="30" x14ac:dyDescent="0.55000000000000004">
      <c r="A5" s="5" t="s">
        <v>10</v>
      </c>
      <c r="B5" s="5" t="s">
        <v>28</v>
      </c>
      <c r="C5" s="5" t="s">
        <v>38</v>
      </c>
      <c r="D5" s="5" t="s">
        <v>26</v>
      </c>
      <c r="E5" s="5" t="s">
        <v>40</v>
      </c>
      <c r="F5" s="5" t="s">
        <v>39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67</v>
      </c>
      <c r="N5" s="5" t="s">
        <v>14</v>
      </c>
    </row>
    <row r="6" spans="1:14" ht="45" x14ac:dyDescent="0.55000000000000004">
      <c r="A6" s="5" t="s">
        <v>11</v>
      </c>
      <c r="B6" s="5" t="s">
        <v>26</v>
      </c>
      <c r="C6" s="5" t="s">
        <v>33</v>
      </c>
      <c r="D6" s="5" t="s">
        <v>26</v>
      </c>
      <c r="E6" s="5" t="s">
        <v>40</v>
      </c>
      <c r="F6" s="5" t="s">
        <v>39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68</v>
      </c>
      <c r="N6" s="5" t="s">
        <v>13</v>
      </c>
    </row>
    <row r="7" spans="1:14" ht="45" x14ac:dyDescent="0.55000000000000004">
      <c r="A7" s="5" t="s">
        <v>15</v>
      </c>
      <c r="B7" s="5" t="s">
        <v>29</v>
      </c>
      <c r="C7" s="5" t="s">
        <v>35</v>
      </c>
      <c r="D7" s="5" t="s">
        <v>29</v>
      </c>
      <c r="E7" s="5" t="s">
        <v>53</v>
      </c>
      <c r="F7" s="5" t="s">
        <v>53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69</v>
      </c>
      <c r="N7" s="36" t="s">
        <v>125</v>
      </c>
    </row>
    <row r="8" spans="1:14" x14ac:dyDescent="0.55000000000000004">
      <c r="A8" s="5" t="s">
        <v>20</v>
      </c>
      <c r="B8" s="5" t="s">
        <v>30</v>
      </c>
      <c r="C8" s="5" t="s">
        <v>36</v>
      </c>
      <c r="D8" s="5" t="s">
        <v>26</v>
      </c>
      <c r="E8" s="5" t="s">
        <v>51</v>
      </c>
      <c r="F8" s="5" t="s">
        <v>39</v>
      </c>
      <c r="G8" s="5" t="s">
        <v>36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44</v>
      </c>
      <c r="N8" s="5" t="s">
        <v>55</v>
      </c>
    </row>
    <row r="9" spans="1:14" x14ac:dyDescent="0.55000000000000004">
      <c r="A9" s="5" t="s">
        <v>19</v>
      </c>
      <c r="B9" s="5" t="s">
        <v>30</v>
      </c>
      <c r="C9" s="5" t="s">
        <v>36</v>
      </c>
      <c r="D9" s="5" t="s">
        <v>26</v>
      </c>
      <c r="E9" s="5" t="s">
        <v>52</v>
      </c>
      <c r="F9" s="5" t="s">
        <v>39</v>
      </c>
      <c r="G9" s="5" t="s">
        <v>52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44</v>
      </c>
      <c r="N9" s="5" t="s">
        <v>56</v>
      </c>
    </row>
    <row r="10" spans="1:14" x14ac:dyDescent="0.55000000000000004">
      <c r="A10" s="5" t="s">
        <v>21</v>
      </c>
      <c r="B10" s="5" t="s">
        <v>30</v>
      </c>
      <c r="C10" s="5" t="s">
        <v>36</v>
      </c>
      <c r="D10" s="5" t="s">
        <v>26</v>
      </c>
      <c r="E10" s="5" t="s">
        <v>40</v>
      </c>
      <c r="F10" s="5" t="s">
        <v>39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44</v>
      </c>
      <c r="N10" s="5" t="s">
        <v>57</v>
      </c>
    </row>
    <row r="11" spans="1:14" x14ac:dyDescent="0.55000000000000004">
      <c r="A11" s="5" t="s">
        <v>22</v>
      </c>
      <c r="B11" s="5" t="s">
        <v>27</v>
      </c>
      <c r="C11" s="5" t="s">
        <v>32</v>
      </c>
      <c r="D11" s="5" t="s">
        <v>41</v>
      </c>
      <c r="E11" s="5" t="s">
        <v>43</v>
      </c>
      <c r="F11" s="5" t="s">
        <v>43</v>
      </c>
      <c r="G11" s="5"/>
      <c r="H11" s="6">
        <v>-1</v>
      </c>
      <c r="I11" s="6">
        <v>-1</v>
      </c>
      <c r="J11" s="6">
        <v>-1</v>
      </c>
      <c r="K11" s="6">
        <v>1</v>
      </c>
      <c r="L11" s="7"/>
      <c r="M11" s="12" t="s">
        <v>45</v>
      </c>
      <c r="N11" s="5"/>
    </row>
    <row r="12" spans="1:14" x14ac:dyDescent="0.55000000000000004">
      <c r="A12" s="5" t="s">
        <v>23</v>
      </c>
      <c r="B12" s="5" t="s">
        <v>31</v>
      </c>
      <c r="C12" s="5" t="s">
        <v>34</v>
      </c>
      <c r="D12" s="5" t="s">
        <v>41</v>
      </c>
      <c r="E12" s="5" t="s">
        <v>50</v>
      </c>
      <c r="F12" s="5" t="s">
        <v>54</v>
      </c>
      <c r="G12" s="5"/>
      <c r="H12" s="6">
        <v>-1</v>
      </c>
      <c r="I12" s="6">
        <v>-1</v>
      </c>
      <c r="J12" s="6">
        <v>-1</v>
      </c>
      <c r="K12" s="6">
        <v>1</v>
      </c>
      <c r="L12" s="7"/>
      <c r="M12" s="12" t="s">
        <v>46</v>
      </c>
      <c r="N12" s="5"/>
    </row>
    <row r="13" spans="1:14" x14ac:dyDescent="0.55000000000000004">
      <c r="A13" s="5" t="s">
        <v>24</v>
      </c>
      <c r="B13" s="5" t="s">
        <v>26</v>
      </c>
      <c r="C13" s="5" t="s">
        <v>33</v>
      </c>
      <c r="D13" s="5" t="s">
        <v>26</v>
      </c>
      <c r="E13" s="5" t="s">
        <v>40</v>
      </c>
      <c r="F13" s="5" t="s">
        <v>39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47</v>
      </c>
      <c r="N13" s="5"/>
    </row>
    <row r="14" spans="1:14" x14ac:dyDescent="0.55000000000000004">
      <c r="A14" s="8" t="s">
        <v>25</v>
      </c>
      <c r="B14" s="8" t="s">
        <v>26</v>
      </c>
      <c r="C14" s="8" t="s">
        <v>33</v>
      </c>
      <c r="D14" s="8" t="s">
        <v>26</v>
      </c>
      <c r="E14" s="8" t="s">
        <v>49</v>
      </c>
      <c r="F14" s="8" t="s">
        <v>39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48</v>
      </c>
      <c r="N14" s="8"/>
    </row>
  </sheetData>
  <phoneticPr fontId="1"/>
  <conditionalFormatting sqref="H2:K14">
    <cfRule type="cellIs" dxfId="23" priority="1" operator="equal">
      <formula>0</formula>
    </cfRule>
    <cfRule type="cellIs" dxfId="22" priority="2" operator="lessThan">
      <formula>0</formula>
    </cfRule>
    <cfRule type="cellIs" dxfId="21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4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80</v>
      </c>
      <c r="F1" t="s">
        <v>81</v>
      </c>
    </row>
    <row r="2" spans="1:6" x14ac:dyDescent="0.55000000000000004">
      <c r="B2" s="24" t="s">
        <v>76</v>
      </c>
      <c r="D2" t="s">
        <v>174</v>
      </c>
      <c r="F2" t="s">
        <v>100</v>
      </c>
    </row>
    <row r="3" spans="1:6" x14ac:dyDescent="0.55000000000000004">
      <c r="B3" s="25" t="s">
        <v>77</v>
      </c>
      <c r="D3" t="s">
        <v>86</v>
      </c>
      <c r="F3" t="s">
        <v>132</v>
      </c>
    </row>
    <row r="4" spans="1:6" x14ac:dyDescent="0.55000000000000004">
      <c r="D4" t="s">
        <v>87</v>
      </c>
      <c r="F4" t="s">
        <v>208</v>
      </c>
    </row>
    <row r="5" spans="1:6" x14ac:dyDescent="0.55000000000000004">
      <c r="A5" t="s">
        <v>83</v>
      </c>
      <c r="B5" s="29" t="s">
        <v>86</v>
      </c>
      <c r="D5" t="s">
        <v>96</v>
      </c>
    </row>
    <row r="6" spans="1:6" x14ac:dyDescent="0.55000000000000004">
      <c r="A6" t="s">
        <v>82</v>
      </c>
      <c r="B6" s="29"/>
      <c r="D6" t="s">
        <v>100</v>
      </c>
    </row>
    <row r="7" spans="1:6" x14ac:dyDescent="0.55000000000000004">
      <c r="A7" t="s">
        <v>84</v>
      </c>
      <c r="B7" s="29" t="s">
        <v>86</v>
      </c>
      <c r="D7" t="s">
        <v>116</v>
      </c>
    </row>
    <row r="8" spans="1:6" x14ac:dyDescent="0.55000000000000004">
      <c r="D8" t="s">
        <v>120</v>
      </c>
    </row>
    <row r="9" spans="1:6" x14ac:dyDescent="0.55000000000000004">
      <c r="D9" t="s">
        <v>132</v>
      </c>
    </row>
    <row r="10" spans="1:6" x14ac:dyDescent="0.55000000000000004">
      <c r="D10" t="s">
        <v>133</v>
      </c>
    </row>
    <row r="11" spans="1:6" x14ac:dyDescent="0.55000000000000004">
      <c r="D11" t="s">
        <v>134</v>
      </c>
    </row>
    <row r="12" spans="1:6" x14ac:dyDescent="0.55000000000000004">
      <c r="D12" t="s">
        <v>175</v>
      </c>
    </row>
    <row r="13" spans="1:6" x14ac:dyDescent="0.55000000000000004">
      <c r="D13" t="s">
        <v>136</v>
      </c>
    </row>
    <row r="14" spans="1:6" x14ac:dyDescent="0.55000000000000004">
      <c r="D14" t="s">
        <v>138</v>
      </c>
    </row>
    <row r="15" spans="1:6" x14ac:dyDescent="0.55000000000000004">
      <c r="D15" t="s">
        <v>139</v>
      </c>
    </row>
    <row r="16" spans="1:6" x14ac:dyDescent="0.55000000000000004">
      <c r="D16" t="s">
        <v>222</v>
      </c>
    </row>
    <row r="17" spans="4:4" x14ac:dyDescent="0.55000000000000004">
      <c r="D17" t="s">
        <v>172</v>
      </c>
    </row>
    <row r="18" spans="4:4" x14ac:dyDescent="0.55000000000000004">
      <c r="D18" t="s">
        <v>223</v>
      </c>
    </row>
    <row r="19" spans="4:4" x14ac:dyDescent="0.55000000000000004">
      <c r="D19" t="s">
        <v>173</v>
      </c>
    </row>
    <row r="20" spans="4:4" x14ac:dyDescent="0.55000000000000004">
      <c r="D20" t="s">
        <v>176</v>
      </c>
    </row>
    <row r="21" spans="4:4" x14ac:dyDescent="0.55000000000000004">
      <c r="D21" t="s">
        <v>177</v>
      </c>
    </row>
    <row r="22" spans="4:4" x14ac:dyDescent="0.55000000000000004">
      <c r="D22" t="s">
        <v>202</v>
      </c>
    </row>
    <row r="23" spans="4:4" x14ac:dyDescent="0.55000000000000004">
      <c r="D23" t="s">
        <v>207</v>
      </c>
    </row>
    <row r="24" spans="4:4" x14ac:dyDescent="0.55000000000000004">
      <c r="D24" t="s">
        <v>208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2024-01-18T13:40:17Z</dcterms:modified>
</cp:coreProperties>
</file>