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DDCCE2F1-8C68-46BB-BA93-4831B6A6CFDE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" l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D2" i="5"/>
  <c r="D10" i="5"/>
  <c r="D18" i="5"/>
  <c r="D26" i="5"/>
  <c r="D34" i="5"/>
  <c r="D9" i="5"/>
  <c r="D3" i="5"/>
  <c r="D11" i="5"/>
  <c r="D19" i="5"/>
  <c r="D27" i="5"/>
  <c r="D35" i="5"/>
  <c r="D4" i="5"/>
  <c r="D12" i="5"/>
  <c r="D20" i="5"/>
  <c r="D28" i="5"/>
  <c r="D25" i="5"/>
  <c r="D5" i="5"/>
  <c r="D13" i="5"/>
  <c r="D21" i="5"/>
  <c r="D29" i="5"/>
  <c r="D6" i="5"/>
  <c r="D14" i="5"/>
  <c r="D22" i="5"/>
  <c r="D30" i="5"/>
  <c r="D7" i="5"/>
  <c r="D15" i="5"/>
  <c r="D23" i="5"/>
  <c r="D31" i="5"/>
  <c r="D33" i="5"/>
  <c r="D8" i="5"/>
  <c r="D16" i="5"/>
  <c r="D24" i="5"/>
  <c r="D32" i="5"/>
  <c r="D17" i="5"/>
  <c r="C2" i="3"/>
  <c r="C10" i="3"/>
  <c r="C18" i="3"/>
  <c r="C26" i="3"/>
  <c r="C34" i="3"/>
  <c r="C42" i="3"/>
  <c r="C50" i="3"/>
  <c r="C22" i="3"/>
  <c r="C25" i="3"/>
  <c r="C3" i="3"/>
  <c r="C11" i="3"/>
  <c r="C19" i="3"/>
  <c r="C27" i="3"/>
  <c r="C35" i="3"/>
  <c r="C43" i="3"/>
  <c r="C51" i="3"/>
  <c r="C14" i="3"/>
  <c r="C38" i="3"/>
  <c r="C49" i="3"/>
  <c r="C4" i="3"/>
  <c r="C12" i="3"/>
  <c r="C20" i="3"/>
  <c r="C28" i="3"/>
  <c r="C36" i="3"/>
  <c r="C44" i="3"/>
  <c r="C52" i="3"/>
  <c r="C30" i="3"/>
  <c r="C54" i="3"/>
  <c r="C41" i="3"/>
  <c r="C5" i="3"/>
  <c r="C13" i="3"/>
  <c r="C21" i="3"/>
  <c r="C29" i="3"/>
  <c r="C37" i="3"/>
  <c r="C45" i="3"/>
  <c r="C53" i="3"/>
  <c r="C46" i="3"/>
  <c r="C6" i="3"/>
  <c r="C7" i="3"/>
  <c r="C15" i="3"/>
  <c r="C23" i="3"/>
  <c r="C31" i="3"/>
  <c r="C39" i="3"/>
  <c r="C47" i="3"/>
  <c r="C40" i="3"/>
  <c r="C9" i="3"/>
  <c r="C33" i="3"/>
  <c r="C8" i="3"/>
  <c r="C16" i="3"/>
  <c r="C24" i="3"/>
  <c r="C32" i="3"/>
  <c r="C48" i="3"/>
  <c r="C17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<sst xmlns="http://schemas.openxmlformats.org/spreadsheetml/2006/main" count="360" uniqueCount="225">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</sst>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24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535"/>
  <sheetViews>
    <sheetView showGridLines="0" tabSelected="1" workbookViewId="0">
      <pane ySplit="1" topLeftCell="A5" activePane="bottomLeft" state="frozen"/>
      <selection activeCell="E5" sqref="E5"/>
      <selection pane="bottomLeft" activeCell="D25" sqref="D25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38" t="s">
        <v>4</v>
      </c>
      <c r="I1" s="39"/>
      <c r="J1" s="38" t="s">
        <v>5</v>
      </c>
      <c r="K1" s="39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0" t="s">
        <v>174</v>
      </c>
      <c r="B2" s="40" t="s">
        <v>178</v>
      </c>
      <c r="C2" s="26" t="str">
        <f t="shared" ref="C2:C33" si="0">camel2snake(B2)</f>
        <v>product_no</v>
      </c>
      <c r="D2" s="40" t="s">
        <v>85</v>
      </c>
      <c r="E2" s="33"/>
      <c r="F2" s="46">
        <v>9</v>
      </c>
      <c r="G2" s="46">
        <v>10</v>
      </c>
      <c r="H2" s="33"/>
      <c r="I2" s="34"/>
      <c r="J2" s="33"/>
      <c r="K2" s="34"/>
      <c r="L2" s="44" t="s">
        <v>90</v>
      </c>
      <c r="M2" s="40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0" t="s">
        <v>86</v>
      </c>
      <c r="B3" s="40" t="s">
        <v>88</v>
      </c>
      <c r="C3" s="26" t="str">
        <f t="shared" si="0"/>
        <v>price</v>
      </c>
      <c r="D3" s="40" t="s">
        <v>91</v>
      </c>
      <c r="E3" s="33"/>
      <c r="F3" s="33"/>
      <c r="G3" s="33"/>
      <c r="H3" s="46">
        <v>0</v>
      </c>
      <c r="I3" s="42">
        <v>1</v>
      </c>
      <c r="J3" s="46">
        <v>99999</v>
      </c>
      <c r="K3" s="42">
        <v>1</v>
      </c>
      <c r="L3" s="44" t="s">
        <v>94</v>
      </c>
      <c r="M3" s="40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0" t="s">
        <v>87</v>
      </c>
      <c r="B4" s="40" t="s">
        <v>89</v>
      </c>
      <c r="C4" s="26" t="str">
        <f t="shared" si="0"/>
        <v>up</v>
      </c>
      <c r="D4" s="40" t="s">
        <v>93</v>
      </c>
      <c r="E4" s="33"/>
      <c r="F4" s="33"/>
      <c r="G4" s="33"/>
      <c r="H4" s="46">
        <v>0</v>
      </c>
      <c r="I4" s="42"/>
      <c r="J4" s="46">
        <v>1000</v>
      </c>
      <c r="K4" s="42">
        <v>1</v>
      </c>
      <c r="L4" s="44" t="s">
        <v>95</v>
      </c>
      <c r="M4" s="40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0" t="s">
        <v>96</v>
      </c>
      <c r="B5" s="40" t="s">
        <v>209</v>
      </c>
      <c r="C5" s="26" t="str">
        <f t="shared" si="0"/>
        <v>registration_date</v>
      </c>
      <c r="D5" s="40" t="s">
        <v>92</v>
      </c>
      <c r="E5" s="33"/>
      <c r="F5" s="33"/>
      <c r="G5" s="33"/>
      <c r="H5" s="33"/>
      <c r="I5" s="34"/>
      <c r="J5" s="33"/>
      <c r="K5" s="34"/>
      <c r="L5" s="44" t="s">
        <v>97</v>
      </c>
      <c r="M5" s="40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0" t="s">
        <v>100</v>
      </c>
      <c r="B6" s="40" t="s">
        <v>101</v>
      </c>
      <c r="C6" s="26" t="str">
        <f t="shared" si="0"/>
        <v>product_kbn</v>
      </c>
      <c r="D6" s="40" t="s">
        <v>111</v>
      </c>
      <c r="E6" s="33"/>
      <c r="F6" s="46"/>
      <c r="G6" s="40"/>
      <c r="H6" s="33"/>
      <c r="I6" s="34"/>
      <c r="J6" s="33"/>
      <c r="K6" s="34"/>
      <c r="L6" s="44" t="s">
        <v>131</v>
      </c>
      <c r="M6" s="40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0" t="s">
        <v>116</v>
      </c>
      <c r="B7" s="40" t="s">
        <v>118</v>
      </c>
      <c r="C7" s="26" t="str">
        <f t="shared" si="0"/>
        <v>comment</v>
      </c>
      <c r="D7" s="40" t="s">
        <v>117</v>
      </c>
      <c r="E7" s="44"/>
      <c r="F7" s="46">
        <v>10</v>
      </c>
      <c r="G7" s="33"/>
      <c r="H7" s="33"/>
      <c r="I7" s="34"/>
      <c r="J7" s="33"/>
      <c r="K7" s="34"/>
      <c r="L7" s="44" t="s">
        <v>119</v>
      </c>
      <c r="M7" s="40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0" t="s">
        <v>120</v>
      </c>
      <c r="B8" s="40" t="s">
        <v>126</v>
      </c>
      <c r="C8" s="26" t="str">
        <f t="shared" si="0"/>
        <v>can_update</v>
      </c>
      <c r="D8" s="40" t="s">
        <v>121</v>
      </c>
      <c r="E8" s="33"/>
      <c r="F8" s="33"/>
      <c r="G8" s="33"/>
      <c r="H8" s="33"/>
      <c r="I8" s="34"/>
      <c r="J8" s="33"/>
      <c r="K8" s="34"/>
      <c r="L8" s="44" t="s">
        <v>122</v>
      </c>
      <c r="M8" s="40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0" t="s">
        <v>132</v>
      </c>
      <c r="B9" s="40" t="s">
        <v>198</v>
      </c>
      <c r="C9" s="26" t="str">
        <f t="shared" si="0"/>
        <v>department</v>
      </c>
      <c r="D9" s="40" t="s">
        <v>111</v>
      </c>
      <c r="E9" s="33"/>
      <c r="F9" s="46"/>
      <c r="G9" s="40"/>
      <c r="H9" s="33"/>
      <c r="I9" s="34"/>
      <c r="J9" s="33"/>
      <c r="K9" s="34"/>
      <c r="L9" s="44" t="s">
        <v>160</v>
      </c>
      <c r="M9" s="40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0" t="s">
        <v>133</v>
      </c>
      <c r="B10" s="40" t="s">
        <v>140</v>
      </c>
      <c r="C10" s="26" t="str">
        <f t="shared" si="0"/>
        <v>order_date</v>
      </c>
      <c r="D10" s="40" t="s">
        <v>92</v>
      </c>
      <c r="E10" s="33"/>
      <c r="F10" s="33"/>
      <c r="G10" s="33"/>
      <c r="H10" s="33"/>
      <c r="I10" s="34"/>
      <c r="J10" s="33"/>
      <c r="K10" s="34"/>
      <c r="L10" s="44" t="s">
        <v>97</v>
      </c>
      <c r="M10" s="40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0" t="s">
        <v>134</v>
      </c>
      <c r="B11" s="40" t="s">
        <v>141</v>
      </c>
      <c r="C11" s="26" t="str">
        <f t="shared" si="0"/>
        <v>quantity</v>
      </c>
      <c r="D11" s="40" t="s">
        <v>91</v>
      </c>
      <c r="E11" s="33"/>
      <c r="F11" s="33"/>
      <c r="G11" s="33"/>
      <c r="H11" s="46">
        <v>0</v>
      </c>
      <c r="I11" s="42">
        <v>1</v>
      </c>
      <c r="J11" s="46">
        <v>99999</v>
      </c>
      <c r="K11" s="42">
        <v>1</v>
      </c>
      <c r="L11" s="44" t="s">
        <v>144</v>
      </c>
      <c r="M11" s="40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0" t="s">
        <v>175</v>
      </c>
      <c r="B12" s="40" t="s">
        <v>179</v>
      </c>
      <c r="C12" s="26" t="str">
        <f t="shared" si="0"/>
        <v>received_order_no</v>
      </c>
      <c r="D12" s="40" t="s">
        <v>85</v>
      </c>
      <c r="E12" s="33"/>
      <c r="F12" s="46">
        <v>10</v>
      </c>
      <c r="G12" s="46">
        <v>10</v>
      </c>
      <c r="H12" s="33"/>
      <c r="I12" s="34"/>
      <c r="J12" s="33"/>
      <c r="K12" s="34"/>
      <c r="L12" s="44" t="s">
        <v>145</v>
      </c>
      <c r="M12" s="40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0" t="s">
        <v>136</v>
      </c>
      <c r="B13" s="40" t="s">
        <v>142</v>
      </c>
      <c r="C13" s="26" t="str">
        <f t="shared" si="0"/>
        <v>order_detail_no</v>
      </c>
      <c r="D13" s="40" t="s">
        <v>137</v>
      </c>
      <c r="E13" s="33"/>
      <c r="F13" s="33"/>
      <c r="G13" s="33"/>
      <c r="H13" s="33"/>
      <c r="I13" s="34"/>
      <c r="J13" s="33"/>
      <c r="K13" s="34"/>
      <c r="L13" s="44" t="s">
        <v>146</v>
      </c>
      <c r="M13" s="40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0" t="s">
        <v>138</v>
      </c>
      <c r="B14" s="40" t="s">
        <v>180</v>
      </c>
      <c r="C14" s="26" t="str">
        <f t="shared" si="0"/>
        <v>person_in_charge</v>
      </c>
      <c r="D14" s="40" t="s">
        <v>147</v>
      </c>
      <c r="E14" s="44"/>
      <c r="F14" s="46"/>
      <c r="G14" s="46">
        <v>30</v>
      </c>
      <c r="H14" s="33"/>
      <c r="I14" s="34"/>
      <c r="J14" s="33"/>
      <c r="K14" s="34"/>
      <c r="L14" s="44" t="s">
        <v>148</v>
      </c>
      <c r="M14" s="40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0" t="s">
        <v>139</v>
      </c>
      <c r="B15" s="40" t="s">
        <v>143</v>
      </c>
      <c r="C15" s="26" t="str">
        <f t="shared" si="0"/>
        <v>user_id</v>
      </c>
      <c r="D15" s="40" t="s">
        <v>85</v>
      </c>
      <c r="E15" s="33"/>
      <c r="F15" s="46">
        <v>4</v>
      </c>
      <c r="G15" s="46">
        <v>4</v>
      </c>
      <c r="H15" s="33"/>
      <c r="I15" s="34"/>
      <c r="J15" s="33"/>
      <c r="K15" s="34"/>
      <c r="L15" s="44" t="s">
        <v>150</v>
      </c>
      <c r="M15" s="40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0" t="s">
        <v>222</v>
      </c>
      <c r="B16" s="40" t="s">
        <v>181</v>
      </c>
      <c r="C16" s="26" t="str">
        <f t="shared" si="0"/>
        <v>product_name</v>
      </c>
      <c r="D16" s="40" t="s">
        <v>147</v>
      </c>
      <c r="E16" s="44"/>
      <c r="F16" s="46"/>
      <c r="G16" s="46">
        <v>100</v>
      </c>
      <c r="H16" s="33"/>
      <c r="I16" s="34"/>
      <c r="J16" s="33"/>
      <c r="K16" s="34"/>
      <c r="L16" s="44" t="s">
        <v>188</v>
      </c>
      <c r="M16" s="40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0" t="s">
        <v>172</v>
      </c>
      <c r="B17" s="40" t="s">
        <v>182</v>
      </c>
      <c r="C17" s="26" t="str">
        <f t="shared" si="0"/>
        <v>customer_id</v>
      </c>
      <c r="D17" s="40" t="s">
        <v>85</v>
      </c>
      <c r="E17" s="33"/>
      <c r="F17" s="46">
        <v>3</v>
      </c>
      <c r="G17" s="46">
        <v>3</v>
      </c>
      <c r="H17" s="33"/>
      <c r="I17" s="34"/>
      <c r="J17" s="33"/>
      <c r="K17" s="34"/>
      <c r="L17" s="44" t="s">
        <v>190</v>
      </c>
      <c r="M17" s="40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0" t="s">
        <v>223</v>
      </c>
      <c r="B18" s="40" t="s">
        <v>183</v>
      </c>
      <c r="C18" s="26" t="str">
        <f t="shared" si="0"/>
        <v>customer_name</v>
      </c>
      <c r="D18" s="40" t="s">
        <v>147</v>
      </c>
      <c r="E18" s="44"/>
      <c r="F18" s="46"/>
      <c r="G18" s="46">
        <v>100</v>
      </c>
      <c r="H18" s="33"/>
      <c r="I18" s="34"/>
      <c r="J18" s="33"/>
      <c r="K18" s="34"/>
      <c r="L18" s="44" t="s">
        <v>192</v>
      </c>
      <c r="M18" s="40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0" t="s">
        <v>173</v>
      </c>
      <c r="B19" s="40" t="s">
        <v>184</v>
      </c>
      <c r="C19" s="26" t="str">
        <f t="shared" si="0"/>
        <v>is_working</v>
      </c>
      <c r="D19" s="40" t="s">
        <v>121</v>
      </c>
      <c r="E19" s="33"/>
      <c r="F19" s="33"/>
      <c r="G19" s="33"/>
      <c r="H19" s="33"/>
      <c r="I19" s="34"/>
      <c r="J19" s="33"/>
      <c r="K19" s="34"/>
      <c r="L19" s="44" t="s">
        <v>194</v>
      </c>
      <c r="M19" s="40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0" t="s">
        <v>176</v>
      </c>
      <c r="B20" s="40" t="s">
        <v>185</v>
      </c>
      <c r="C20" s="26" t="str">
        <f t="shared" si="0"/>
        <v>profit_rate</v>
      </c>
      <c r="D20" s="40" t="s">
        <v>93</v>
      </c>
      <c r="E20" s="33"/>
      <c r="F20" s="33"/>
      <c r="G20" s="33"/>
      <c r="H20" s="46">
        <v>-10</v>
      </c>
      <c r="I20" s="42">
        <v>1</v>
      </c>
      <c r="J20" s="46">
        <v>10</v>
      </c>
      <c r="K20" s="42">
        <v>1</v>
      </c>
      <c r="L20" s="44" t="s">
        <v>196</v>
      </c>
      <c r="M20" s="40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0" t="s">
        <v>177</v>
      </c>
      <c r="B21" s="40" t="s">
        <v>186</v>
      </c>
      <c r="C21" s="26" t="str">
        <f t="shared" si="0"/>
        <v>exclude_report</v>
      </c>
      <c r="D21" s="40" t="s">
        <v>121</v>
      </c>
      <c r="E21" s="33"/>
      <c r="F21" s="33"/>
      <c r="G21" s="33"/>
      <c r="H21" s="33"/>
      <c r="I21" s="34"/>
      <c r="J21" s="33"/>
      <c r="K21" s="34"/>
      <c r="L21" s="44" t="s">
        <v>194</v>
      </c>
      <c r="M21" s="40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0" t="s">
        <v>202</v>
      </c>
      <c r="B22" s="40" t="s">
        <v>206</v>
      </c>
      <c r="C22" s="26" t="str">
        <f t="shared" si="0"/>
        <v>shipping_time</v>
      </c>
      <c r="D22" s="40" t="s">
        <v>203</v>
      </c>
      <c r="E22" s="44" t="s">
        <v>224</v>
      </c>
      <c r="F22" s="33"/>
      <c r="G22" s="33"/>
      <c r="H22" s="33"/>
      <c r="I22" s="34"/>
      <c r="J22" s="33"/>
      <c r="K22" s="34"/>
      <c r="L22" s="44" t="s">
        <v>204</v>
      </c>
      <c r="M22" s="40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0" t="s">
        <v>207</v>
      </c>
      <c r="B23" s="40" t="s">
        <v>210</v>
      </c>
      <c r="C23" s="26" t="str">
        <f t="shared" si="0"/>
        <v>is_active_customer</v>
      </c>
      <c r="D23" s="40" t="s">
        <v>121</v>
      </c>
      <c r="E23" s="33"/>
      <c r="F23" s="33"/>
      <c r="G23" s="33"/>
      <c r="H23" s="33"/>
      <c r="I23" s="34"/>
      <c r="J23" s="33"/>
      <c r="K23" s="34"/>
      <c r="L23" s="44" t="s">
        <v>194</v>
      </c>
      <c r="M23" s="40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40" t="s">
        <v>208</v>
      </c>
      <c r="B24" s="40" t="s">
        <v>211</v>
      </c>
      <c r="C24" s="26" t="str">
        <f t="shared" si="0"/>
        <v>customer_type</v>
      </c>
      <c r="D24" s="40" t="s">
        <v>111</v>
      </c>
      <c r="E24" s="33"/>
      <c r="F24" s="46"/>
      <c r="G24" s="40"/>
      <c r="H24" s="33"/>
      <c r="I24" s="34"/>
      <c r="J24" s="33"/>
      <c r="K24" s="34"/>
      <c r="L24" s="44" t="s">
        <v>213</v>
      </c>
      <c r="M24" s="40" t="s">
        <v>214</v>
      </c>
      <c r="N24" s="26" t="str">
        <f>IFERROR(VLOOKUP(D24,ドメインタイプDATA,6,FALSE)&amp;"","")</f>
        <v>string</v>
      </c>
      <c r="O24" s="26" t="str">
        <f>IFERROR(VLOOKUP(D24,ドメインタイプDATA,7,FALSE)&amp;"","")</f>
        <v/>
      </c>
      <c r="P24" s="32">
        <f ca="1">COUNTIF(派生元項目KEY,A24)</f>
        <v>0</v>
      </c>
      <c r="Q24" s="32">
        <f ca="1">COUNTIF(区分値項目KEY,A24)</f>
        <v>4</v>
      </c>
    </row>
    <row r="25" spans="1:17" ht="15" x14ac:dyDescent="0.55000000000000004">
      <c r="A25" s="40"/>
      <c r="B25" s="40"/>
      <c r="C25" s="26" t="str">
        <f t="shared" si="0"/>
        <v/>
      </c>
      <c r="D25" s="40"/>
      <c r="E25" s="40"/>
      <c r="F25" s="40"/>
      <c r="G25" s="40"/>
      <c r="H25" s="40"/>
      <c r="I25" s="42"/>
      <c r="J25" s="40"/>
      <c r="K25" s="42"/>
      <c r="L25" s="44"/>
      <c r="M25" s="40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0"/>
      <c r="B26" s="40"/>
      <c r="C26" s="26" t="str">
        <f t="shared" si="0"/>
        <v/>
      </c>
      <c r="D26" s="40"/>
      <c r="E26" s="40"/>
      <c r="F26" s="40"/>
      <c r="G26" s="40"/>
      <c r="H26" s="40"/>
      <c r="I26" s="42"/>
      <c r="J26" s="40"/>
      <c r="K26" s="42"/>
      <c r="L26" s="44"/>
      <c r="M26" s="40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0"/>
      <c r="B27" s="40"/>
      <c r="C27" s="26" t="str">
        <f t="shared" si="0"/>
        <v/>
      </c>
      <c r="D27" s="40"/>
      <c r="E27" s="40"/>
      <c r="F27" s="40"/>
      <c r="G27" s="40"/>
      <c r="H27" s="40"/>
      <c r="I27" s="42"/>
      <c r="J27" s="40"/>
      <c r="K27" s="42"/>
      <c r="L27" s="44"/>
      <c r="M27" s="40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0"/>
      <c r="B28" s="40"/>
      <c r="C28" s="26" t="str">
        <f t="shared" si="0"/>
        <v/>
      </c>
      <c r="D28" s="40"/>
      <c r="E28" s="40"/>
      <c r="F28" s="40"/>
      <c r="G28" s="40"/>
      <c r="H28" s="40"/>
      <c r="I28" s="42"/>
      <c r="J28" s="40"/>
      <c r="K28" s="42"/>
      <c r="L28" s="44"/>
      <c r="M28" s="40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0"/>
      <c r="B29" s="40"/>
      <c r="C29" s="26" t="str">
        <f t="shared" si="0"/>
        <v/>
      </c>
      <c r="D29" s="40"/>
      <c r="E29" s="40"/>
      <c r="F29" s="40"/>
      <c r="G29" s="40"/>
      <c r="H29" s="40"/>
      <c r="I29" s="42"/>
      <c r="J29" s="40"/>
      <c r="K29" s="42"/>
      <c r="L29" s="44"/>
      <c r="M29" s="40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0"/>
      <c r="B30" s="40"/>
      <c r="C30" s="26" t="str">
        <f t="shared" si="0"/>
        <v/>
      </c>
      <c r="D30" s="40"/>
      <c r="E30" s="40"/>
      <c r="F30" s="40"/>
      <c r="G30" s="40"/>
      <c r="H30" s="40"/>
      <c r="I30" s="42"/>
      <c r="J30" s="40"/>
      <c r="K30" s="42"/>
      <c r="L30" s="44"/>
      <c r="M30" s="40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0"/>
      <c r="B31" s="40"/>
      <c r="C31" s="26" t="str">
        <f t="shared" si="0"/>
        <v/>
      </c>
      <c r="D31" s="40"/>
      <c r="E31" s="40"/>
      <c r="F31" s="40"/>
      <c r="G31" s="40"/>
      <c r="H31" s="40"/>
      <c r="I31" s="42"/>
      <c r="J31" s="40"/>
      <c r="K31" s="42"/>
      <c r="L31" s="44"/>
      <c r="M31" s="40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0"/>
      <c r="B32" s="40"/>
      <c r="C32" s="26" t="str">
        <f t="shared" si="0"/>
        <v/>
      </c>
      <c r="D32" s="40"/>
      <c r="E32" s="40"/>
      <c r="F32" s="40"/>
      <c r="G32" s="40"/>
      <c r="H32" s="40"/>
      <c r="I32" s="42"/>
      <c r="J32" s="40"/>
      <c r="K32" s="42"/>
      <c r="L32" s="44"/>
      <c r="M32" s="40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0"/>
      <c r="B33" s="40"/>
      <c r="C33" s="26" t="str">
        <f t="shared" si="0"/>
        <v/>
      </c>
      <c r="D33" s="40"/>
      <c r="E33" s="40"/>
      <c r="F33" s="40"/>
      <c r="G33" s="40"/>
      <c r="H33" s="40"/>
      <c r="I33" s="42"/>
      <c r="J33" s="40"/>
      <c r="K33" s="42"/>
      <c r="L33" s="44"/>
      <c r="M33" s="40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0"/>
      <c r="B34" s="40"/>
      <c r="C34" s="26" t="str">
        <f t="shared" ref="C34:C65" si="1">camel2snake(B34)</f>
        <v/>
      </c>
      <c r="D34" s="40"/>
      <c r="E34" s="40"/>
      <c r="F34" s="40"/>
      <c r="G34" s="40"/>
      <c r="H34" s="40"/>
      <c r="I34" s="42"/>
      <c r="J34" s="40"/>
      <c r="K34" s="42"/>
      <c r="L34" s="44"/>
      <c r="M34" s="40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2"/>
      <c r="J35" s="40"/>
      <c r="K35" s="42"/>
      <c r="L35" s="44"/>
      <c r="M35" s="40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2"/>
      <c r="J36" s="40"/>
      <c r="K36" s="42"/>
      <c r="L36" s="44"/>
      <c r="M36" s="40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2"/>
      <c r="J37" s="40"/>
      <c r="K37" s="42"/>
      <c r="L37" s="44"/>
      <c r="M37" s="40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2"/>
      <c r="J38" s="40"/>
      <c r="K38" s="42"/>
      <c r="L38" s="44"/>
      <c r="M38" s="40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2"/>
      <c r="J39" s="40"/>
      <c r="K39" s="42"/>
      <c r="L39" s="44"/>
      <c r="M39" s="40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2"/>
      <c r="J40" s="40"/>
      <c r="K40" s="42"/>
      <c r="L40" s="44"/>
      <c r="M40" s="40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2"/>
      <c r="J41" s="40"/>
      <c r="K41" s="42"/>
      <c r="L41" s="44"/>
      <c r="M41" s="40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2"/>
      <c r="J42" s="40"/>
      <c r="K42" s="42"/>
      <c r="L42" s="44"/>
      <c r="M42" s="40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2"/>
      <c r="J43" s="40"/>
      <c r="K43" s="42"/>
      <c r="L43" s="44"/>
      <c r="M43" s="40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2"/>
      <c r="J44" s="40"/>
      <c r="K44" s="42"/>
      <c r="L44" s="44"/>
      <c r="M44" s="40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2"/>
      <c r="J45" s="40"/>
      <c r="K45" s="42"/>
      <c r="L45" s="44"/>
      <c r="M45" s="40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2"/>
      <c r="J46" s="40"/>
      <c r="K46" s="42"/>
      <c r="L46" s="44"/>
      <c r="M46" s="40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2"/>
      <c r="J47" s="40"/>
      <c r="K47" s="42"/>
      <c r="L47" s="44"/>
      <c r="M47" s="40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2"/>
      <c r="J48" s="40"/>
      <c r="K48" s="42"/>
      <c r="L48" s="44"/>
      <c r="M48" s="40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2"/>
      <c r="J49" s="40"/>
      <c r="K49" s="42"/>
      <c r="L49" s="44"/>
      <c r="M49" s="40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2"/>
      <c r="J50" s="40"/>
      <c r="K50" s="42"/>
      <c r="L50" s="44"/>
      <c r="M50" s="40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2"/>
      <c r="J51" s="40"/>
      <c r="K51" s="42"/>
      <c r="L51" s="44"/>
      <c r="M51" s="40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2"/>
      <c r="J52" s="40"/>
      <c r="K52" s="42"/>
      <c r="L52" s="44"/>
      <c r="M52" s="40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2"/>
      <c r="J53" s="40"/>
      <c r="K53" s="42"/>
      <c r="L53" s="44"/>
      <c r="M53" s="40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1"/>
      <c r="B54" s="41"/>
      <c r="C54" s="27" t="str">
        <f t="shared" si="1"/>
        <v/>
      </c>
      <c r="D54" s="41"/>
      <c r="E54" s="41"/>
      <c r="F54" s="41"/>
      <c r="G54" s="41"/>
      <c r="H54" s="41"/>
      <c r="I54" s="43"/>
      <c r="J54" s="41"/>
      <c r="K54" s="43"/>
      <c r="L54" s="45"/>
      <c r="M54" s="41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</sheetData>
  <mergeCells count="2">
    <mergeCell ref="H1:I1"/>
    <mergeCell ref="J1:K1"/>
  </mergeCells>
  <phoneticPr fontId="1"/>
  <conditionalFormatting sqref="B2:B54 D2:D54 L2:M54">
    <cfRule type="expression" dxfId="7" priority="1" stopIfTrue="1">
      <formula>AND($A2&lt;&gt;"",B2="")</formula>
    </cfRule>
  </conditionalFormatting>
  <conditionalFormatting sqref="E22">
    <cfRule type="containsBlanks" dxfId="6" priority="2" stopIfTrue="1">
      <formula>LEN(TRIM(E22))=0</formula>
    </cfRule>
  </conditionalFormatting>
  <conditionalFormatting sqref="F2:G2 F12:G12 G14 F15:G15 G16 F17:G17 G18">
    <cfRule type="containsBlanks" dxfId="5" priority="3" stopIfTrue="1">
      <formula>LEN(TRIM(F2))=0</formula>
    </cfRule>
  </conditionalFormatting>
  <conditionalFormatting sqref="H3:H4 J3:J4 H11 J11 H20 J20">
    <cfRule type="containsBlanks" dxfId="4" priority="4" stopIfTrue="1">
      <formula>LEN(TRIM(H3))=0</formula>
    </cfRule>
  </conditionalFormatting>
  <dataValidations count="12">
    <dataValidation imeMode="on" allowBlank="1" showInputMessage="1" showErrorMessage="1" sqref="A1536:A1048576 M1 A1 M1536:M1048576" xr:uid="{82371562-DA48-418A-B9E1-F875CA10CC30}"/>
    <dataValidation imeMode="off" allowBlank="1" showInputMessage="1" showErrorMessage="1" sqref="E1:H1 L1 J1 B1536:B1048576 B1 E1536:L1048576" xr:uid="{A44170C6-B920-46F2-AEA3-D4E9954343F7}"/>
    <dataValidation type="list" allowBlank="1" showInputMessage="1" showErrorMessage="1" sqref="D2:D54" xr:uid="{6091F766-549A-4FBC-838C-8FA76185EF42}">
      <formula1>ドメインタイプKEY</formula1>
    </dataValidation>
    <dataValidation imeMode="on" allowBlank="1" showInputMessage="1" showErrorMessage="1" sqref="A2:A54 M2:M54" xr:uid="{93983C7F-ADE3-48E3-AE69-257F2F3065B0}"/>
    <dataValidation imeMode="off" allowBlank="1" showInputMessage="1" showErrorMessage="1" sqref="B2:B54" xr:uid="{CE678067-8BD3-4F93-A078-D1E77DB7003B}"/>
    <dataValidation imeMode="off" allowBlank="1" showInputMessage="1" showErrorMessage="1" sqref="E22" xr:uid="{4948DD29-2B1A-4300-AEE9-1A00E18818A3}"/>
    <dataValidation imeMode="off" allowBlank="1" showInputMessage="1" showErrorMessage="1" sqref="E7 E14 E16 E18" xr:uid="{33056E74-6A52-4C4F-9AE8-1474293F0807}"/>
    <dataValidation type="whole" imeMode="off" allowBlank="1" showInputMessage="1" showErrorMessage="1" error="0-1000の間で入力可能" sqref="F2:G2 F12:G12 G14 F15:G15 G16 F17:G17 G18" xr:uid="{D7EC804E-A332-41EA-99AC-1AF56C565729}">
      <formula1>0</formula1>
      <formula2>1000</formula2>
    </dataValidation>
    <dataValidation type="whole" imeMode="off" allowBlank="1" showInputMessage="1" showErrorMessage="1" error="0-1000の間で入力可能" sqref="F6:F7 F9 F14 F16 F18 F24" xr:uid="{F0D8A545-B2C3-4498-B123-9DB655C6A488}">
      <formula1>0</formula1>
      <formula2>1000</formula2>
    </dataValidation>
    <dataValidation type="whole" imeMode="off" allowBlank="1" showInputMessage="1" showErrorMessage="1" error="数値のみ入力可能" sqref="H3:H4 J3:J4 H11 J11 H20 J20" xr:uid="{DBBF5F9A-9BDB-4204-9F98-278C99283BAB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1F62DD88-9C64-48A4-8DD8-2449EA9D75D0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49802394-C92F-40EC-AEAE-EF944FB24B3F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404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0" t="s">
        <v>86</v>
      </c>
      <c r="B2" s="40" t="s">
        <v>98</v>
      </c>
      <c r="C2" s="40" t="s">
        <v>115</v>
      </c>
      <c r="D2" s="26" t="str">
        <f t="shared" ref="D2:D35" si="0">camel2snake(C2)</f>
        <v>campane_price</v>
      </c>
      <c r="E2" s="40" t="s">
        <v>99</v>
      </c>
    </row>
    <row r="3" spans="1:5" x14ac:dyDescent="0.55000000000000004">
      <c r="A3" s="40" t="s">
        <v>139</v>
      </c>
      <c r="B3" s="40" t="s">
        <v>152</v>
      </c>
      <c r="C3" s="40" t="s">
        <v>153</v>
      </c>
      <c r="D3" s="26" t="str">
        <f t="shared" si="0"/>
        <v>order_pic</v>
      </c>
      <c r="E3" s="40" t="s">
        <v>155</v>
      </c>
    </row>
    <row r="4" spans="1:5" x14ac:dyDescent="0.55000000000000004">
      <c r="A4" s="40" t="s">
        <v>139</v>
      </c>
      <c r="B4" s="40" t="s">
        <v>154</v>
      </c>
      <c r="C4" s="40" t="s">
        <v>199</v>
      </c>
      <c r="D4" s="26" t="str">
        <f t="shared" si="0"/>
        <v>product_pic</v>
      </c>
      <c r="E4" s="40" t="s">
        <v>156</v>
      </c>
    </row>
    <row r="5" spans="1:5" x14ac:dyDescent="0.55000000000000004">
      <c r="A5" s="40" t="s">
        <v>132</v>
      </c>
      <c r="B5" s="40" t="s">
        <v>200</v>
      </c>
      <c r="C5" s="40" t="s">
        <v>201</v>
      </c>
      <c r="D5" s="26" t="str">
        <f t="shared" si="0"/>
        <v>salese_department</v>
      </c>
      <c r="E5" s="40" t="s">
        <v>200</v>
      </c>
    </row>
    <row r="6" spans="1:5" x14ac:dyDescent="0.55000000000000004">
      <c r="A6" s="40"/>
      <c r="B6" s="40"/>
      <c r="C6" s="40"/>
      <c r="D6" s="26" t="str">
        <f t="shared" si="0"/>
        <v/>
      </c>
      <c r="E6" s="40"/>
    </row>
    <row r="7" spans="1:5" x14ac:dyDescent="0.55000000000000004">
      <c r="A7" s="40"/>
      <c r="B7" s="40"/>
      <c r="C7" s="40"/>
      <c r="D7" s="26" t="str">
        <f t="shared" si="0"/>
        <v/>
      </c>
      <c r="E7" s="40"/>
    </row>
    <row r="8" spans="1:5" x14ac:dyDescent="0.55000000000000004">
      <c r="A8" s="40"/>
      <c r="B8" s="40"/>
      <c r="C8" s="40"/>
      <c r="D8" s="26" t="str">
        <f t="shared" si="0"/>
        <v/>
      </c>
      <c r="E8" s="40"/>
    </row>
    <row r="9" spans="1:5" x14ac:dyDescent="0.55000000000000004">
      <c r="A9" s="40"/>
      <c r="B9" s="40"/>
      <c r="C9" s="40"/>
      <c r="D9" s="26" t="str">
        <f t="shared" si="0"/>
        <v/>
      </c>
      <c r="E9" s="40"/>
    </row>
    <row r="10" spans="1:5" x14ac:dyDescent="0.55000000000000004">
      <c r="A10" s="40"/>
      <c r="B10" s="40"/>
      <c r="C10" s="40"/>
      <c r="D10" s="26" t="str">
        <f t="shared" si="0"/>
        <v/>
      </c>
      <c r="E10" s="40"/>
    </row>
    <row r="11" spans="1:5" x14ac:dyDescent="0.55000000000000004">
      <c r="A11" s="40"/>
      <c r="B11" s="40"/>
      <c r="C11" s="40"/>
      <c r="D11" s="26" t="str">
        <f t="shared" si="0"/>
        <v/>
      </c>
      <c r="E11" s="40"/>
    </row>
    <row r="12" spans="1:5" x14ac:dyDescent="0.55000000000000004">
      <c r="A12" s="40"/>
      <c r="B12" s="40"/>
      <c r="C12" s="40"/>
      <c r="D12" s="26" t="str">
        <f t="shared" si="0"/>
        <v/>
      </c>
      <c r="E12" s="40"/>
    </row>
    <row r="13" spans="1:5" x14ac:dyDescent="0.55000000000000004">
      <c r="A13" s="40"/>
      <c r="B13" s="40"/>
      <c r="C13" s="40"/>
      <c r="D13" s="26" t="str">
        <f t="shared" si="0"/>
        <v/>
      </c>
      <c r="E13" s="40"/>
    </row>
    <row r="14" spans="1:5" x14ac:dyDescent="0.55000000000000004">
      <c r="A14" s="40"/>
      <c r="B14" s="40"/>
      <c r="C14" s="40"/>
      <c r="D14" s="26" t="str">
        <f t="shared" si="0"/>
        <v/>
      </c>
      <c r="E14" s="40"/>
    </row>
    <row r="15" spans="1:5" x14ac:dyDescent="0.55000000000000004">
      <c r="A15" s="40"/>
      <c r="B15" s="40"/>
      <c r="C15" s="40"/>
      <c r="D15" s="26" t="str">
        <f t="shared" si="0"/>
        <v/>
      </c>
      <c r="E15" s="40"/>
    </row>
    <row r="16" spans="1:5" x14ac:dyDescent="0.55000000000000004">
      <c r="A16" s="40"/>
      <c r="B16" s="40"/>
      <c r="C16" s="40"/>
      <c r="D16" s="26" t="str">
        <f t="shared" si="0"/>
        <v/>
      </c>
      <c r="E16" s="40"/>
    </row>
    <row r="17" spans="1:5" x14ac:dyDescent="0.55000000000000004">
      <c r="A17" s="40"/>
      <c r="B17" s="40"/>
      <c r="C17" s="40"/>
      <c r="D17" s="26" t="str">
        <f t="shared" si="0"/>
        <v/>
      </c>
      <c r="E17" s="40"/>
    </row>
    <row r="18" spans="1:5" x14ac:dyDescent="0.55000000000000004">
      <c r="A18" s="40"/>
      <c r="B18" s="40"/>
      <c r="C18" s="40"/>
      <c r="D18" s="26" t="str">
        <f t="shared" si="0"/>
        <v/>
      </c>
      <c r="E18" s="40"/>
    </row>
    <row r="19" spans="1:5" x14ac:dyDescent="0.55000000000000004">
      <c r="A19" s="40"/>
      <c r="B19" s="40"/>
      <c r="C19" s="40"/>
      <c r="D19" s="26" t="str">
        <f t="shared" si="0"/>
        <v/>
      </c>
      <c r="E19" s="40"/>
    </row>
    <row r="20" spans="1:5" x14ac:dyDescent="0.55000000000000004">
      <c r="A20" s="40"/>
      <c r="B20" s="40"/>
      <c r="C20" s="40"/>
      <c r="D20" s="26" t="str">
        <f t="shared" si="0"/>
        <v/>
      </c>
      <c r="E20" s="40"/>
    </row>
    <row r="21" spans="1:5" x14ac:dyDescent="0.55000000000000004">
      <c r="A21" s="40"/>
      <c r="B21" s="40"/>
      <c r="C21" s="40"/>
      <c r="D21" s="26" t="str">
        <f t="shared" si="0"/>
        <v/>
      </c>
      <c r="E21" s="40"/>
    </row>
    <row r="22" spans="1:5" x14ac:dyDescent="0.55000000000000004">
      <c r="A22" s="40"/>
      <c r="B22" s="40"/>
      <c r="C22" s="40"/>
      <c r="D22" s="26" t="str">
        <f t="shared" si="0"/>
        <v/>
      </c>
      <c r="E22" s="40"/>
    </row>
    <row r="23" spans="1:5" x14ac:dyDescent="0.55000000000000004">
      <c r="A23" s="40"/>
      <c r="B23" s="40"/>
      <c r="C23" s="40"/>
      <c r="D23" s="26" t="str">
        <f t="shared" si="0"/>
        <v/>
      </c>
      <c r="E23" s="40"/>
    </row>
    <row r="24" spans="1:5" x14ac:dyDescent="0.55000000000000004">
      <c r="A24" s="40"/>
      <c r="B24" s="40"/>
      <c r="C24" s="40"/>
      <c r="D24" s="26" t="str">
        <f t="shared" si="0"/>
        <v/>
      </c>
      <c r="E24" s="40"/>
    </row>
    <row r="25" spans="1:5" x14ac:dyDescent="0.55000000000000004">
      <c r="A25" s="40"/>
      <c r="B25" s="40"/>
      <c r="C25" s="40"/>
      <c r="D25" s="26" t="str">
        <f t="shared" si="0"/>
        <v/>
      </c>
      <c r="E25" s="40"/>
    </row>
    <row r="26" spans="1:5" x14ac:dyDescent="0.55000000000000004">
      <c r="A26" s="40"/>
      <c r="B26" s="40"/>
      <c r="C26" s="40"/>
      <c r="D26" s="26" t="str">
        <f t="shared" si="0"/>
        <v/>
      </c>
      <c r="E26" s="40"/>
    </row>
    <row r="27" spans="1:5" x14ac:dyDescent="0.55000000000000004">
      <c r="A27" s="40"/>
      <c r="B27" s="40"/>
      <c r="C27" s="40"/>
      <c r="D27" s="26" t="str">
        <f t="shared" si="0"/>
        <v/>
      </c>
      <c r="E27" s="40"/>
    </row>
    <row r="28" spans="1:5" x14ac:dyDescent="0.55000000000000004">
      <c r="A28" s="40"/>
      <c r="B28" s="40"/>
      <c r="C28" s="40"/>
      <c r="D28" s="26" t="str">
        <f t="shared" si="0"/>
        <v/>
      </c>
      <c r="E28" s="40"/>
    </row>
    <row r="29" spans="1:5" x14ac:dyDescent="0.55000000000000004">
      <c r="A29" s="40"/>
      <c r="B29" s="40"/>
      <c r="C29" s="40"/>
      <c r="D29" s="26" t="str">
        <f t="shared" si="0"/>
        <v/>
      </c>
      <c r="E29" s="40"/>
    </row>
    <row r="30" spans="1:5" x14ac:dyDescent="0.55000000000000004">
      <c r="A30" s="40"/>
      <c r="B30" s="40"/>
      <c r="C30" s="40"/>
      <c r="D30" s="26" t="str">
        <f t="shared" si="0"/>
        <v/>
      </c>
      <c r="E30" s="40"/>
    </row>
    <row r="31" spans="1:5" x14ac:dyDescent="0.55000000000000004">
      <c r="A31" s="40"/>
      <c r="B31" s="40"/>
      <c r="C31" s="40"/>
      <c r="D31" s="26" t="str">
        <f t="shared" si="0"/>
        <v/>
      </c>
      <c r="E31" s="40"/>
    </row>
    <row r="32" spans="1:5" x14ac:dyDescent="0.55000000000000004">
      <c r="A32" s="40"/>
      <c r="B32" s="40"/>
      <c r="C32" s="40"/>
      <c r="D32" s="26" t="str">
        <f t="shared" si="0"/>
        <v/>
      </c>
      <c r="E32" s="40"/>
    </row>
    <row r="33" spans="1:5" x14ac:dyDescent="0.55000000000000004">
      <c r="A33" s="40"/>
      <c r="B33" s="40"/>
      <c r="C33" s="40"/>
      <c r="D33" s="26" t="str">
        <f t="shared" si="0"/>
        <v/>
      </c>
      <c r="E33" s="40"/>
    </row>
    <row r="34" spans="1:5" x14ac:dyDescent="0.55000000000000004">
      <c r="A34" s="40"/>
      <c r="B34" s="40"/>
      <c r="C34" s="40"/>
      <c r="D34" s="26" t="str">
        <f t="shared" si="0"/>
        <v/>
      </c>
      <c r="E34" s="40"/>
    </row>
    <row r="35" spans="1:5" x14ac:dyDescent="0.55000000000000004">
      <c r="A35" s="41"/>
      <c r="B35" s="41"/>
      <c r="C35" s="41"/>
      <c r="D35" s="27" t="str">
        <f t="shared" si="0"/>
        <v/>
      </c>
      <c r="E35" s="41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C745F98C-4D15-4F3C-A1C9-27013F69B6D9}"/>
    <dataValidation imeMode="off" allowBlank="1" showInputMessage="1" showErrorMessage="1" sqref="C2:C35" xr:uid="{93DA6F20-E6AD-403B-8C8A-637ADAED6F37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596"/>
  <sheetViews>
    <sheetView showGridLines="0" workbookViewId="0">
      <pane ySplit="1" topLeftCell="A2" activePane="bottomLeft" state="frozen"/>
      <selection activeCell="E5" sqref="E5"/>
      <selection pane="bottomLeft" activeCell="B15" sqref="B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0" t="s">
        <v>100</v>
      </c>
      <c r="B2" s="40" t="s">
        <v>127</v>
      </c>
      <c r="C2" s="40" t="s">
        <v>104</v>
      </c>
      <c r="D2" s="40" t="s">
        <v>105</v>
      </c>
    </row>
    <row r="3" spans="1:4" x14ac:dyDescent="0.55000000000000004">
      <c r="A3" s="40" t="s">
        <v>100</v>
      </c>
      <c r="B3" s="40" t="s">
        <v>131</v>
      </c>
      <c r="C3" s="40" t="s">
        <v>103</v>
      </c>
      <c r="D3" s="40" t="s">
        <v>106</v>
      </c>
    </row>
    <row r="4" spans="1:4" x14ac:dyDescent="0.55000000000000004">
      <c r="A4" s="40" t="s">
        <v>100</v>
      </c>
      <c r="B4" s="40" t="s">
        <v>128</v>
      </c>
      <c r="C4" s="40" t="s">
        <v>107</v>
      </c>
      <c r="D4" s="40" t="s">
        <v>110</v>
      </c>
    </row>
    <row r="5" spans="1:4" x14ac:dyDescent="0.55000000000000004">
      <c r="A5" s="40" t="s">
        <v>100</v>
      </c>
      <c r="B5" s="40" t="s">
        <v>129</v>
      </c>
      <c r="C5" s="40" t="s">
        <v>108</v>
      </c>
      <c r="D5" s="40" t="s">
        <v>109</v>
      </c>
    </row>
    <row r="6" spans="1:4" x14ac:dyDescent="0.55000000000000004">
      <c r="A6" s="40" t="s">
        <v>132</v>
      </c>
      <c r="B6" s="40" t="s">
        <v>157</v>
      </c>
      <c r="C6" s="40" t="s">
        <v>158</v>
      </c>
      <c r="D6" s="40" t="s">
        <v>159</v>
      </c>
    </row>
    <row r="7" spans="1:4" x14ac:dyDescent="0.55000000000000004">
      <c r="A7" s="40" t="s">
        <v>132</v>
      </c>
      <c r="B7" s="40" t="s">
        <v>160</v>
      </c>
      <c r="C7" s="40" t="s">
        <v>161</v>
      </c>
      <c r="D7" s="40" t="s">
        <v>162</v>
      </c>
    </row>
    <row r="8" spans="1:4" x14ac:dyDescent="0.55000000000000004">
      <c r="A8" s="40" t="s">
        <v>132</v>
      </c>
      <c r="B8" s="40" t="s">
        <v>163</v>
      </c>
      <c r="C8" s="40" t="s">
        <v>164</v>
      </c>
      <c r="D8" s="40" t="s">
        <v>165</v>
      </c>
    </row>
    <row r="9" spans="1:4" x14ac:dyDescent="0.55000000000000004">
      <c r="A9" s="40" t="s">
        <v>132</v>
      </c>
      <c r="B9" s="40" t="s">
        <v>166</v>
      </c>
      <c r="C9" s="40" t="s">
        <v>167</v>
      </c>
      <c r="D9" s="40" t="s">
        <v>168</v>
      </c>
    </row>
    <row r="10" spans="1:4" x14ac:dyDescent="0.55000000000000004">
      <c r="A10" s="40" t="s">
        <v>132</v>
      </c>
      <c r="B10" s="40" t="s">
        <v>169</v>
      </c>
      <c r="C10" s="40" t="s">
        <v>170</v>
      </c>
      <c r="D10" s="40" t="s">
        <v>171</v>
      </c>
    </row>
    <row r="11" spans="1:4" x14ac:dyDescent="0.55000000000000004">
      <c r="A11" s="40" t="s">
        <v>208</v>
      </c>
      <c r="B11" s="40" t="s">
        <v>215</v>
      </c>
      <c r="C11" s="40" t="s">
        <v>216</v>
      </c>
      <c r="D11" s="40" t="s">
        <v>216</v>
      </c>
    </row>
    <row r="12" spans="1:4" x14ac:dyDescent="0.55000000000000004">
      <c r="A12" s="40" t="s">
        <v>208</v>
      </c>
      <c r="B12" s="40" t="s">
        <v>213</v>
      </c>
      <c r="C12" s="40" t="s">
        <v>103</v>
      </c>
      <c r="D12" s="40" t="s">
        <v>217</v>
      </c>
    </row>
    <row r="13" spans="1:4" x14ac:dyDescent="0.55000000000000004">
      <c r="A13" s="40" t="s">
        <v>208</v>
      </c>
      <c r="B13" s="40" t="s">
        <v>218</v>
      </c>
      <c r="C13" s="40" t="s">
        <v>219</v>
      </c>
      <c r="D13" s="40" t="s">
        <v>219</v>
      </c>
    </row>
    <row r="14" spans="1:4" x14ac:dyDescent="0.55000000000000004">
      <c r="A14" s="40" t="s">
        <v>208</v>
      </c>
      <c r="B14" s="40" t="s">
        <v>220</v>
      </c>
      <c r="C14" s="40" t="s">
        <v>221</v>
      </c>
      <c r="D14" s="40" t="s">
        <v>221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1"/>
      <c r="B44" s="41"/>
      <c r="C44" s="41"/>
      <c r="D44" s="41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6E7279D7-20CC-43B6-9856-EA6A062F1053}"/>
    <dataValidation imeMode="off" allowBlank="1" showInputMessage="1" showErrorMessage="1" sqref="B2:B44" xr:uid="{1D73D894-0022-4B9B-8F25-A17C4E14A9C8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0" priority="1" operator="equal">
      <formula>0</formula>
    </cfRule>
    <cfRule type="cellIs" dxfId="9" priority="2" operator="lessThan">
      <formula>0</formula>
    </cfRule>
    <cfRule type="cellIs" dxfId="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2024-01-19T12:46:16Z</dcterms:modified>
</cp:coreProperties>
</file>