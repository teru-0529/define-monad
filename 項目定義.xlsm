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1070CBD6-A9B3-436C-B485-D9B5CA62818C}" xr6:coauthVersionLast="47" xr6:coauthVersionMax="47" xr10:uidLastSave="{00000000-0000-0000-0000-000000000000}"/>
  <bookViews>
    <workbookView xWindow="-110" yWindow="-110" windowWidth="19420" windowHeight="10300" activeTab="3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3" l="1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55" i="3"/>
  <c r="C32" i="3"/>
  <c r="C40" i="3"/>
  <c r="C48" i="3"/>
  <c r="C56" i="3"/>
  <c r="C33" i="3"/>
  <c r="C41" i="3"/>
  <c r="C49" i="3"/>
  <c r="C34" i="3"/>
  <c r="C42" i="3"/>
  <c r="C50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6" i="3"/>
  <c r="C14" i="3"/>
  <c r="C22" i="3"/>
  <c r="C7" i="3"/>
  <c r="C15" i="3"/>
  <c r="C23" i="3"/>
  <c r="C16" i="3"/>
  <c r="C9" i="3"/>
  <c r="C17" i="3"/>
  <c r="C25" i="3"/>
  <c r="C2" i="3"/>
  <c r="C10" i="3"/>
  <c r="C18" i="3"/>
  <c r="C26" i="3"/>
  <c r="C3" i="3"/>
  <c r="C11" i="3"/>
  <c r="C19" i="3"/>
  <c r="C4" i="3"/>
  <c r="C12" i="3"/>
  <c r="C20" i="3"/>
  <c r="C8" i="3"/>
  <c r="C24" i="3"/>
</calcChain>
</file>

<file path=xl/sharedStrings.xml><?xml version="1.0" encoding="utf-8"?>
<sst xmlns="http://schemas.openxmlformats.org/spreadsheetml/2006/main" count="377" uniqueCount="239">
  <si>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</si>
  <si>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</si>
  <si>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</si>
  <si>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</si>
  <si>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</si>
  <si>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</si>
  <si>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</si>
  <si>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</si>
  <si>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</si>
  <si>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</si>
  <si>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</si>
  <si>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</si>
  <si>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</si>
  <si>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</si>
  <si>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</si>
  <si>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</si>
  <si>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</si>
  <si>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</si>
  <si>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</si>
  <si>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</si>
  <si>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</si>
  <si>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</si>
  <si>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</si>
  <si>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</si>
  <si>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</si>
  <si>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</si>
  <si>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</si>
  <si>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</si>
  <si>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</si>
  <si>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</si>
  <si>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</si>
  <si>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</si>
  <si>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</si>
  <si>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</si>
  <si>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</si>
  <si>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</si>
  <si>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</si>
  <si>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</si>
  <si>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</si>
  <si>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</si>
  <si>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</si>
  <si>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</si>
  <si>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</si>
  <si>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</si>
  <si>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</si>
  <si>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</si>
  <si>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</si>
  <si>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</si>
  <si>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</si>
  <si>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</si>
  <si>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</si>
  <si>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</si>
  <si>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</si>
  <si>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</si>
  <si>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</si>
  <si>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</si>
  <si>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</si>
  <si>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</si>
  <si>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</si>
  <si>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</si>
  <si>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</si>
  <si>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</si>
  <si>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</si>
  <si>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</si>
  <si>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</si>
  <si>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</si>
  <si>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</si>
  <si>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</si>
  <si>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</si>
  <si>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</si>
  <si>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</si>
  <si>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</si>
  <si>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</si>
  <si>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</si>
  <si>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</si>
  <si>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</si>
  <si>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</si>
  <si>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</si>
  <si>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</si>
  <si>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</si>
  <si>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</si>
  <si>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</si>
  <si>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</si>
  <si>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</si>
  <si>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</si>
  <si>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</si>
  <si>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</si>
  <si>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</si>
  <si>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</si>
  <si>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</si>
  <si>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</si>
  <si>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</si>
  <si>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</si>
  <si>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</si>
  <si>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</si>
  <si>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</si>
  <si>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</si>
  <si>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</si>
  <si>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</si>
  <si>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</si>
  <si>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</si>
  <si>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</si>
  <si>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</si>
  <si>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</si>
  <si>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</si>
  <si>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</si>
  <si>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</si>
  <si>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</si>
  <si>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</si>
  <si>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</si>
  <si>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</si>
  <si>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</si>
  <si>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</si>
  <si>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</si>
  <si>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</si>
  <si>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</si>
  <si>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</si>
  <si>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</si>
  <si>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</si>
  <si>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</si>
  <si>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</si>
  <si>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</si>
  <si>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</si>
  <si>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</si>
  <si>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</si>
  <si>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</si>
  <si>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</si>
  <si>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</si>
  <si>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</si>
  <si>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</si>
  <si>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</si>
  <si>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</si>
  <si>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</si>
  <si>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</si>
  <si>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</si>
  <si>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</si>
  <si>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</si>
  <si>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</si>
  <si>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</si>
  <si>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</si>
  <si>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</si>
  <si>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</si>
  <si>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</si>
  <si>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</si>
  <si>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</si>
  <si>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</si>
  <si>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</si>
  <si>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</si>
  <si>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</si>
  <si>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</si>
  <si>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</si>
  <si>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</si>
  <si>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</si>
  <si>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</si>
  <si>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</si>
  <si>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</si>
  <si>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</si>
  <si>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</si>
  <si>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</si>
  <si>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</si>
  <si>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</si>
  <si>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</si>
  <si>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</si>
  <si>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</si>
  <si>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</si>
  <si>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</si>
  <si>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</si>
  <si>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</si>
  <si>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</si>
  <si>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</si>
  <si>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</si>
  <si>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</si>
  <si>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</si>
  <si>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</si>
  <si>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</si>
  <si>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</si>
  <si>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</si>
  <si>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</si>
  <si>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</si>
  <si>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</si>
  <si>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</si>
  <si>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</si>
  <si>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</si>
  <si>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</si>
  <si>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</si>
  <si>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</si>
  <si>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</si>
  <si>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</si>
  <si>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</si>
  <si>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</si>
  <si>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</si>
  <si>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</si>
  <si>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</si>
  <si>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</si>
  <si>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</si>
  <si>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</si>
  <si>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</si>
  <si>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</si>
  <si>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</si>
  <si>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</si>
  <si>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</si>
  <si>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</si>
  <si>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</si>
  <si>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</si>
  <si>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</si>
  <si>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</si>
  <si>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</si>
  <si>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</si>
  <si>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</si>
  <si>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</si>
  <si>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</si>
  <si>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</si>
  <si>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</si>
  <si>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</si>
  <si>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</si>
  <si>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</si>
  <si>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</si>
  <si>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</si>
  <si>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</si>
  <si>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</si>
  <si>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</si>
  <si>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</si>
  <si>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</si>
  <si>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</si>
  <si>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</si>
  <si>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</si>
  <si>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</si>
  <si>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</si>
  <si>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</si>
  <si>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</si>
  <si>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</si>
  <si>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^([0-1]?[0-9]|2[0-3]):[0-5][0-9]$</t>
    <phoneticPr fontId="1"/>
  </si>
  <si>
    <t>0012</t>
    <phoneticPr fontId="1"/>
  </si>
  <si>
    <t>customerType</t>
    <phoneticPr fontId="1"/>
  </si>
  <si>
    <t>ログID</t>
    <phoneticPr fontId="1"/>
  </si>
  <si>
    <t>logId</t>
    <phoneticPr fontId="1"/>
  </si>
  <si>
    <t>UUID</t>
  </si>
  <si>
    <t>ログのID</t>
    <phoneticPr fontId="1"/>
  </si>
  <si>
    <t>ede66c43-9b9d-4222-93ed-5f11c96e08e2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</si>
</sst>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179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</cellXfs>
  <cellStyles count="1">
    <cellStyle name="標準" xfId="0" builtinId="0"/>
  </cellStyles>
  <dxfs count="2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1989"/>
  <sheetViews>
    <sheetView showGridLines="0" zoomScaleNormal="100" workbookViewId="0">
      <pane ySplit="1" topLeftCell="A8" activePane="bottomLeft" state="frozen"/>
      <selection activeCell="E5" sqref="E5"/>
      <selection pane="bottomLeft" activeCell="K27" sqref="K27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41" t="s">
        <v>170</v>
      </c>
      <c r="B2" s="41" t="s">
        <v>174</v>
      </c>
      <c r="C2" s="26" t="str">
        <f t="shared" ref="C2:C33" si="0">camel2snake(B2)</f>
        <v>product_no</v>
      </c>
      <c r="D2" s="41" t="s">
        <v>219</v>
      </c>
      <c r="E2" s="33"/>
      <c r="F2" s="45">
        <v>9</v>
      </c>
      <c r="G2" s="45">
        <v>10</v>
      </c>
      <c r="H2" s="33"/>
      <c r="I2" s="33"/>
      <c r="J2" s="43" t="s">
        <v>88</v>
      </c>
      <c r="K2" s="41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41" t="s">
        <v>84</v>
      </c>
      <c r="B3" s="41" t="s">
        <v>86</v>
      </c>
      <c r="C3" s="26" t="str">
        <f t="shared" si="0"/>
        <v>price</v>
      </c>
      <c r="D3" s="41" t="s">
        <v>89</v>
      </c>
      <c r="E3" s="33"/>
      <c r="F3" s="33"/>
      <c r="G3" s="33"/>
      <c r="H3" s="41">
        <v>0</v>
      </c>
      <c r="I3" s="41"/>
      <c r="J3" s="43" t="s">
        <v>92</v>
      </c>
      <c r="K3" s="41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41" t="s">
        <v>85</v>
      </c>
      <c r="B4" s="41" t="s">
        <v>87</v>
      </c>
      <c r="C4" s="26" t="str">
        <f t="shared" si="0"/>
        <v>up</v>
      </c>
      <c r="D4" s="41" t="s">
        <v>91</v>
      </c>
      <c r="E4" s="33"/>
      <c r="F4" s="33"/>
      <c r="G4" s="33"/>
      <c r="H4" s="41">
        <v>-1000</v>
      </c>
      <c r="I4" s="41">
        <v>1000</v>
      </c>
      <c r="J4" s="43" t="s">
        <v>93</v>
      </c>
      <c r="K4" s="41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41" t="s">
        <v>94</v>
      </c>
      <c r="B5" s="41" t="s">
        <v>205</v>
      </c>
      <c r="C5" s="26" t="str">
        <f t="shared" si="0"/>
        <v>registration_date</v>
      </c>
      <c r="D5" s="41" t="s">
        <v>90</v>
      </c>
      <c r="E5" s="33"/>
      <c r="F5" s="33"/>
      <c r="G5" s="33"/>
      <c r="H5" s="33"/>
      <c r="I5" s="33"/>
      <c r="J5" s="43" t="s">
        <v>95</v>
      </c>
      <c r="K5" s="41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41" t="s">
        <v>98</v>
      </c>
      <c r="B6" s="41" t="s">
        <v>99</v>
      </c>
      <c r="C6" s="26" t="str">
        <f t="shared" si="0"/>
        <v>product_kbn</v>
      </c>
      <c r="D6" s="41" t="s">
        <v>221</v>
      </c>
      <c r="E6" s="33"/>
      <c r="F6" s="45"/>
      <c r="G6" s="41"/>
      <c r="H6" s="33"/>
      <c r="I6" s="33"/>
      <c r="J6" s="43" t="s">
        <v>128</v>
      </c>
      <c r="K6" s="41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41" t="s">
        <v>113</v>
      </c>
      <c r="B7" s="41" t="s">
        <v>115</v>
      </c>
      <c r="C7" s="26" t="str">
        <f t="shared" si="0"/>
        <v>comment</v>
      </c>
      <c r="D7" s="41" t="s">
        <v>114</v>
      </c>
      <c r="E7" s="43"/>
      <c r="F7" s="45">
        <v>10</v>
      </c>
      <c r="G7" s="33"/>
      <c r="H7" s="33"/>
      <c r="I7" s="33"/>
      <c r="J7" s="43" t="s">
        <v>116</v>
      </c>
      <c r="K7" s="41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41" t="s">
        <v>117</v>
      </c>
      <c r="B8" s="41" t="s">
        <v>123</v>
      </c>
      <c r="C8" s="26" t="str">
        <f t="shared" si="0"/>
        <v>can_update</v>
      </c>
      <c r="D8" s="41" t="s">
        <v>118</v>
      </c>
      <c r="E8" s="33"/>
      <c r="F8" s="33"/>
      <c r="G8" s="33"/>
      <c r="H8" s="33"/>
      <c r="I8" s="33"/>
      <c r="J8" s="43" t="s">
        <v>119</v>
      </c>
      <c r="K8" s="41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41" t="s">
        <v>129</v>
      </c>
      <c r="B9" s="41" t="s">
        <v>194</v>
      </c>
      <c r="C9" s="26" t="str">
        <f t="shared" si="0"/>
        <v>department</v>
      </c>
      <c r="D9" s="41" t="s">
        <v>221</v>
      </c>
      <c r="E9" s="33"/>
      <c r="F9" s="45"/>
      <c r="G9" s="41"/>
      <c r="H9" s="33"/>
      <c r="I9" s="33"/>
      <c r="J9" s="43" t="s">
        <v>156</v>
      </c>
      <c r="K9" s="41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41" t="s">
        <v>130</v>
      </c>
      <c r="B10" s="41" t="s">
        <v>137</v>
      </c>
      <c r="C10" s="26" t="str">
        <f t="shared" si="0"/>
        <v>order_date</v>
      </c>
      <c r="D10" s="41" t="s">
        <v>90</v>
      </c>
      <c r="E10" s="33"/>
      <c r="F10" s="33"/>
      <c r="G10" s="33"/>
      <c r="H10" s="33"/>
      <c r="I10" s="33"/>
      <c r="J10" s="43" t="s">
        <v>95</v>
      </c>
      <c r="K10" s="41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41" t="s">
        <v>131</v>
      </c>
      <c r="B11" s="41" t="s">
        <v>138</v>
      </c>
      <c r="C11" s="26" t="str">
        <f t="shared" si="0"/>
        <v>quantity</v>
      </c>
      <c r="D11" s="41" t="s">
        <v>89</v>
      </c>
      <c r="E11" s="33"/>
      <c r="F11" s="33"/>
      <c r="G11" s="33"/>
      <c r="H11" s="41">
        <v>0</v>
      </c>
      <c r="I11" s="41">
        <v>99999</v>
      </c>
      <c r="J11" s="43" t="s">
        <v>141</v>
      </c>
      <c r="K11" s="41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41" t="s">
        <v>171</v>
      </c>
      <c r="B12" s="41" t="s">
        <v>175</v>
      </c>
      <c r="C12" s="26" t="str">
        <f t="shared" si="0"/>
        <v>received_order_no</v>
      </c>
      <c r="D12" s="41" t="s">
        <v>219</v>
      </c>
      <c r="E12" s="33"/>
      <c r="F12" s="45">
        <v>10</v>
      </c>
      <c r="G12" s="45">
        <v>10</v>
      </c>
      <c r="H12" s="33"/>
      <c r="I12" s="33"/>
      <c r="J12" s="43" t="s">
        <v>142</v>
      </c>
      <c r="K12" s="41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41" t="s">
        <v>133</v>
      </c>
      <c r="B13" s="41" t="s">
        <v>139</v>
      </c>
      <c r="C13" s="26" t="str">
        <f t="shared" si="0"/>
        <v>order_detail_no</v>
      </c>
      <c r="D13" s="41" t="s">
        <v>134</v>
      </c>
      <c r="E13" s="33"/>
      <c r="F13" s="33"/>
      <c r="G13" s="33"/>
      <c r="H13" s="33"/>
      <c r="I13" s="33"/>
      <c r="J13" s="43" t="s">
        <v>143</v>
      </c>
      <c r="K13" s="41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41" t="s">
        <v>135</v>
      </c>
      <c r="B14" s="41" t="s">
        <v>176</v>
      </c>
      <c r="C14" s="26" t="str">
        <f t="shared" si="0"/>
        <v>person_in_charge</v>
      </c>
      <c r="D14" s="41" t="s">
        <v>144</v>
      </c>
      <c r="E14" s="43"/>
      <c r="F14" s="45"/>
      <c r="G14" s="45">
        <v>30</v>
      </c>
      <c r="H14" s="33"/>
      <c r="I14" s="33"/>
      <c r="J14" s="43" t="s">
        <v>145</v>
      </c>
      <c r="K14" s="41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41" t="s">
        <v>136</v>
      </c>
      <c r="B15" s="41" t="s">
        <v>140</v>
      </c>
      <c r="C15" s="26" t="str">
        <f t="shared" si="0"/>
        <v>user_id</v>
      </c>
      <c r="D15" s="41" t="s">
        <v>219</v>
      </c>
      <c r="E15" s="33"/>
      <c r="F15" s="45">
        <v>4</v>
      </c>
      <c r="G15" s="45">
        <v>4</v>
      </c>
      <c r="H15" s="33"/>
      <c r="I15" s="33"/>
      <c r="J15" s="43" t="s">
        <v>222</v>
      </c>
      <c r="K15" s="41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41" t="s">
        <v>217</v>
      </c>
      <c r="B16" s="41" t="s">
        <v>177</v>
      </c>
      <c r="C16" s="26" t="str">
        <f t="shared" si="0"/>
        <v>product_name</v>
      </c>
      <c r="D16" s="41" t="s">
        <v>144</v>
      </c>
      <c r="E16" s="43"/>
      <c r="F16" s="45"/>
      <c r="G16" s="45">
        <v>100</v>
      </c>
      <c r="H16" s="33"/>
      <c r="I16" s="33"/>
      <c r="J16" s="43" t="s">
        <v>184</v>
      </c>
      <c r="K16" s="41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41" t="s">
        <v>168</v>
      </c>
      <c r="B17" s="41" t="s">
        <v>178</v>
      </c>
      <c r="C17" s="26" t="str">
        <f t="shared" si="0"/>
        <v>customer_id</v>
      </c>
      <c r="D17" s="41" t="s">
        <v>219</v>
      </c>
      <c r="E17" s="33"/>
      <c r="F17" s="45">
        <v>3</v>
      </c>
      <c r="G17" s="45">
        <v>3</v>
      </c>
      <c r="H17" s="33"/>
      <c r="I17" s="33"/>
      <c r="J17" s="43" t="s">
        <v>186</v>
      </c>
      <c r="K17" s="41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41" t="s">
        <v>218</v>
      </c>
      <c r="B18" s="41" t="s">
        <v>179</v>
      </c>
      <c r="C18" s="26" t="str">
        <f t="shared" si="0"/>
        <v>customer_name</v>
      </c>
      <c r="D18" s="41" t="s">
        <v>144</v>
      </c>
      <c r="E18" s="43"/>
      <c r="F18" s="45"/>
      <c r="G18" s="45">
        <v>100</v>
      </c>
      <c r="H18" s="33"/>
      <c r="I18" s="33"/>
      <c r="J18" s="43" t="s">
        <v>188</v>
      </c>
      <c r="K18" s="41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41" t="s">
        <v>169</v>
      </c>
      <c r="B19" s="41" t="s">
        <v>180</v>
      </c>
      <c r="C19" s="26" t="str">
        <f t="shared" si="0"/>
        <v>is_working</v>
      </c>
      <c r="D19" s="41" t="s">
        <v>118</v>
      </c>
      <c r="E19" s="33"/>
      <c r="F19" s="33"/>
      <c r="G19" s="33"/>
      <c r="H19" s="33"/>
      <c r="I19" s="33"/>
      <c r="J19" s="43" t="s">
        <v>190</v>
      </c>
      <c r="K19" s="41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41" t="s">
        <v>172</v>
      </c>
      <c r="B20" s="41" t="s">
        <v>181</v>
      </c>
      <c r="C20" s="26" t="str">
        <f t="shared" si="0"/>
        <v>profit_rate</v>
      </c>
      <c r="D20" s="41" t="s">
        <v>91</v>
      </c>
      <c r="E20" s="33"/>
      <c r="F20" s="33"/>
      <c r="G20" s="33"/>
      <c r="H20" s="41"/>
      <c r="I20" s="41">
        <v>10</v>
      </c>
      <c r="J20" s="43" t="s">
        <v>192</v>
      </c>
      <c r="K20" s="41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41" t="s">
        <v>173</v>
      </c>
      <c r="B21" s="41" t="s">
        <v>182</v>
      </c>
      <c r="C21" s="26" t="str">
        <f t="shared" si="0"/>
        <v>exclude_report</v>
      </c>
      <c r="D21" s="41" t="s">
        <v>118</v>
      </c>
      <c r="E21" s="33"/>
      <c r="F21" s="33"/>
      <c r="G21" s="33"/>
      <c r="H21" s="33"/>
      <c r="I21" s="33"/>
      <c r="J21" s="43" t="s">
        <v>190</v>
      </c>
      <c r="K21" s="41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41" t="s">
        <v>198</v>
      </c>
      <c r="B22" s="41" t="s">
        <v>202</v>
      </c>
      <c r="C22" s="26" t="str">
        <f t="shared" si="0"/>
        <v>shipping_time</v>
      </c>
      <c r="D22" s="41" t="s">
        <v>199</v>
      </c>
      <c r="E22" s="43" t="s">
        <v>231</v>
      </c>
      <c r="F22" s="33"/>
      <c r="G22" s="33"/>
      <c r="H22" s="33"/>
      <c r="I22" s="33"/>
      <c r="J22" s="43" t="s">
        <v>200</v>
      </c>
      <c r="K22" s="41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41" t="s">
        <v>203</v>
      </c>
      <c r="B23" s="41" t="s">
        <v>206</v>
      </c>
      <c r="C23" s="26" t="str">
        <f t="shared" si="0"/>
        <v>is_active_customer</v>
      </c>
      <c r="D23" s="41" t="s">
        <v>118</v>
      </c>
      <c r="E23" s="33"/>
      <c r="F23" s="33"/>
      <c r="G23" s="33"/>
      <c r="H23" s="33"/>
      <c r="I23" s="33"/>
      <c r="J23" s="43" t="s">
        <v>190</v>
      </c>
      <c r="K23" s="41" t="s">
        <v>207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41" t="s">
        <v>204</v>
      </c>
      <c r="B24" s="41" t="s">
        <v>233</v>
      </c>
      <c r="C24" s="26" t="str">
        <f t="shared" si="0"/>
        <v>customer_type</v>
      </c>
      <c r="D24" s="41" t="s">
        <v>221</v>
      </c>
      <c r="E24" s="33"/>
      <c r="F24" s="45"/>
      <c r="G24" s="41"/>
      <c r="H24" s="33"/>
      <c r="I24" s="33"/>
      <c r="J24" s="43" t="s">
        <v>208</v>
      </c>
      <c r="K24" s="41" t="s">
        <v>209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41" t="s">
        <v>223</v>
      </c>
      <c r="B25" s="41" t="s">
        <v>226</v>
      </c>
      <c r="C25" s="26" t="str">
        <f t="shared" si="0"/>
        <v>approve_datetime</v>
      </c>
      <c r="D25" s="41" t="s">
        <v>228</v>
      </c>
      <c r="E25" s="33"/>
      <c r="F25" s="33"/>
      <c r="G25" s="33"/>
      <c r="H25" s="33"/>
      <c r="I25" s="33"/>
      <c r="J25" s="43" t="s">
        <v>229</v>
      </c>
      <c r="K25" s="41" t="s">
        <v>230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46" t="s">
        <v>224</v>
      </c>
      <c r="B26" s="46" t="s">
        <v>227</v>
      </c>
      <c r="C26" s="38" t="str">
        <f t="shared" si="0"/>
        <v>emploee_no</v>
      </c>
      <c r="D26" s="46" t="s">
        <v>219</v>
      </c>
      <c r="E26" s="39"/>
      <c r="F26" s="47">
        <v>4</v>
      </c>
      <c r="G26" s="47">
        <v>4</v>
      </c>
      <c r="H26" s="39"/>
      <c r="I26" s="39"/>
      <c r="J26" s="48" t="s">
        <v>232</v>
      </c>
      <c r="K26" s="46" t="s">
        <v>224</v>
      </c>
      <c r="L26" s="38" t="str">
        <f>IFERROR(VLOOKUP(D26,ドメインタイプDATA,6,FALSE)&amp;"","")</f>
        <v>string</v>
      </c>
      <c r="M26" s="38" t="str">
        <f>IFERROR(VLOOKUP(D26,ドメインタイプDATA,7,FALSE)&amp;"","")</f>
        <v/>
      </c>
      <c r="N26" s="40">
        <f ca="1">COUNTIF(派生元項目KEY,A26)</f>
        <v>0</v>
      </c>
      <c r="O26" s="40">
        <f ca="1">COUNTIF(区分値項目KEY,A26)</f>
        <v>0</v>
      </c>
    </row>
    <row r="27" spans="1:15" ht="15" x14ac:dyDescent="0.55000000000000004">
      <c r="A27" s="41" t="s">
        <v>234</v>
      </c>
      <c r="B27" s="41" t="s">
        <v>235</v>
      </c>
      <c r="C27" s="26" t="str">
        <f t="shared" ref="C27:C56" si="1">camel2snake(B27)</f>
        <v>log_id</v>
      </c>
      <c r="D27" s="41" t="s">
        <v>236</v>
      </c>
      <c r="E27" s="33"/>
      <c r="F27" s="33"/>
      <c r="G27" s="33"/>
      <c r="H27" s="33"/>
      <c r="I27" s="33"/>
      <c r="J27" s="43" t="s">
        <v>238</v>
      </c>
      <c r="K27" s="41" t="s">
        <v>237</v>
      </c>
      <c r="L27" s="26" t="str">
        <f>IFERROR(VLOOKUP(D27,ドメインタイプDATA,6,FALSE)&amp;"","")</f>
        <v>string</v>
      </c>
      <c r="M27" s="26" t="str">
        <f>IFERROR(VLOOKUP(D27,ドメインタイプDATA,7,FALSE)&amp;"","")</f>
        <v>uuid</v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41"/>
      <c r="B28" s="41"/>
      <c r="C28" s="26" t="str">
        <f t="shared" si="1"/>
        <v/>
      </c>
      <c r="D28" s="41"/>
      <c r="E28" s="41"/>
      <c r="F28" s="41"/>
      <c r="G28" s="41"/>
      <c r="H28" s="41"/>
      <c r="I28" s="41"/>
      <c r="J28" s="43"/>
      <c r="K28" s="41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41"/>
      <c r="B29" s="41"/>
      <c r="C29" s="26" t="str">
        <f t="shared" si="1"/>
        <v/>
      </c>
      <c r="D29" s="41"/>
      <c r="E29" s="41"/>
      <c r="F29" s="41"/>
      <c r="G29" s="41"/>
      <c r="H29" s="41"/>
      <c r="I29" s="41"/>
      <c r="J29" s="43"/>
      <c r="K29" s="41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41"/>
      <c r="B30" s="41"/>
      <c r="C30" s="26" t="str">
        <f t="shared" si="1"/>
        <v/>
      </c>
      <c r="D30" s="41"/>
      <c r="E30" s="41"/>
      <c r="F30" s="41"/>
      <c r="G30" s="41"/>
      <c r="H30" s="41"/>
      <c r="I30" s="41"/>
      <c r="J30" s="43"/>
      <c r="K30" s="41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41"/>
      <c r="B31" s="41"/>
      <c r="C31" s="26" t="str">
        <f t="shared" si="1"/>
        <v/>
      </c>
      <c r="D31" s="41"/>
      <c r="E31" s="41"/>
      <c r="F31" s="41"/>
      <c r="G31" s="41"/>
      <c r="H31" s="41"/>
      <c r="I31" s="41"/>
      <c r="J31" s="43"/>
      <c r="K31" s="41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41"/>
      <c r="B32" s="41"/>
      <c r="C32" s="26" t="str">
        <f t="shared" si="1"/>
        <v/>
      </c>
      <c r="D32" s="41"/>
      <c r="E32" s="41"/>
      <c r="F32" s="41"/>
      <c r="G32" s="41"/>
      <c r="H32" s="41"/>
      <c r="I32" s="41"/>
      <c r="J32" s="43"/>
      <c r="K32" s="41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41"/>
      <c r="B33" s="41"/>
      <c r="C33" s="26" t="str">
        <f t="shared" si="1"/>
        <v/>
      </c>
      <c r="D33" s="41"/>
      <c r="E33" s="41"/>
      <c r="F33" s="41"/>
      <c r="G33" s="41"/>
      <c r="H33" s="41"/>
      <c r="I33" s="41"/>
      <c r="J33" s="43"/>
      <c r="K33" s="41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41"/>
      <c r="B34" s="41"/>
      <c r="C34" s="26" t="str">
        <f t="shared" si="1"/>
        <v/>
      </c>
      <c r="D34" s="41"/>
      <c r="E34" s="41"/>
      <c r="F34" s="41"/>
      <c r="G34" s="41"/>
      <c r="H34" s="41"/>
      <c r="I34" s="41"/>
      <c r="J34" s="43"/>
      <c r="K34" s="41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41"/>
      <c r="B35" s="41"/>
      <c r="C35" s="26" t="str">
        <f t="shared" si="1"/>
        <v/>
      </c>
      <c r="D35" s="41"/>
      <c r="E35" s="41"/>
      <c r="F35" s="41"/>
      <c r="G35" s="41"/>
      <c r="H35" s="41"/>
      <c r="I35" s="41"/>
      <c r="J35" s="43"/>
      <c r="K35" s="41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41"/>
      <c r="B36" s="41"/>
      <c r="C36" s="26" t="str">
        <f t="shared" si="1"/>
        <v/>
      </c>
      <c r="D36" s="41"/>
      <c r="E36" s="41"/>
      <c r="F36" s="41"/>
      <c r="G36" s="41"/>
      <c r="H36" s="41"/>
      <c r="I36" s="41"/>
      <c r="J36" s="43"/>
      <c r="K36" s="41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41"/>
      <c r="B37" s="41"/>
      <c r="C37" s="26" t="str">
        <f t="shared" si="1"/>
        <v/>
      </c>
      <c r="D37" s="41"/>
      <c r="E37" s="41"/>
      <c r="F37" s="41"/>
      <c r="G37" s="41"/>
      <c r="H37" s="41"/>
      <c r="I37" s="41"/>
      <c r="J37" s="43"/>
      <c r="K37" s="41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41"/>
      <c r="B38" s="41"/>
      <c r="C38" s="26" t="str">
        <f t="shared" si="1"/>
        <v/>
      </c>
      <c r="D38" s="41"/>
      <c r="E38" s="41"/>
      <c r="F38" s="41"/>
      <c r="G38" s="41"/>
      <c r="H38" s="41"/>
      <c r="I38" s="41"/>
      <c r="J38" s="43"/>
      <c r="K38" s="41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41"/>
      <c r="B39" s="41"/>
      <c r="C39" s="26" t="str">
        <f t="shared" si="1"/>
        <v/>
      </c>
      <c r="D39" s="41"/>
      <c r="E39" s="41"/>
      <c r="F39" s="41"/>
      <c r="G39" s="41"/>
      <c r="H39" s="41"/>
      <c r="I39" s="41"/>
      <c r="J39" s="43"/>
      <c r="K39" s="41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41"/>
      <c r="B40" s="41"/>
      <c r="C40" s="26" t="str">
        <f t="shared" si="1"/>
        <v/>
      </c>
      <c r="D40" s="41"/>
      <c r="E40" s="41"/>
      <c r="F40" s="41"/>
      <c r="G40" s="41"/>
      <c r="H40" s="41"/>
      <c r="I40" s="41"/>
      <c r="J40" s="43"/>
      <c r="K40" s="41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41"/>
      <c r="B41" s="41"/>
      <c r="C41" s="26" t="str">
        <f t="shared" si="1"/>
        <v/>
      </c>
      <c r="D41" s="41"/>
      <c r="E41" s="41"/>
      <c r="F41" s="41"/>
      <c r="G41" s="41"/>
      <c r="H41" s="41"/>
      <c r="I41" s="41"/>
      <c r="J41" s="43"/>
      <c r="K41" s="41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41"/>
      <c r="B42" s="41"/>
      <c r="C42" s="26" t="str">
        <f t="shared" si="1"/>
        <v/>
      </c>
      <c r="D42" s="41"/>
      <c r="E42" s="41"/>
      <c r="F42" s="41"/>
      <c r="G42" s="41"/>
      <c r="H42" s="41"/>
      <c r="I42" s="41"/>
      <c r="J42" s="43"/>
      <c r="K42" s="41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41"/>
      <c r="B43" s="41"/>
      <c r="C43" s="26" t="str">
        <f t="shared" si="1"/>
        <v/>
      </c>
      <c r="D43" s="41"/>
      <c r="E43" s="41"/>
      <c r="F43" s="41"/>
      <c r="G43" s="41"/>
      <c r="H43" s="41"/>
      <c r="I43" s="41"/>
      <c r="J43" s="43"/>
      <c r="K43" s="41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41"/>
      <c r="B44" s="41"/>
      <c r="C44" s="26" t="str">
        <f t="shared" si="1"/>
        <v/>
      </c>
      <c r="D44" s="41"/>
      <c r="E44" s="41"/>
      <c r="F44" s="41"/>
      <c r="G44" s="41"/>
      <c r="H44" s="41"/>
      <c r="I44" s="41"/>
      <c r="J44" s="43"/>
      <c r="K44" s="41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41"/>
      <c r="B45" s="41"/>
      <c r="C45" s="26" t="str">
        <f t="shared" si="1"/>
        <v/>
      </c>
      <c r="D45" s="41"/>
      <c r="E45" s="41"/>
      <c r="F45" s="41"/>
      <c r="G45" s="41"/>
      <c r="H45" s="41"/>
      <c r="I45" s="41"/>
      <c r="J45" s="43"/>
      <c r="K45" s="41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41"/>
      <c r="B46" s="41"/>
      <c r="C46" s="26" t="str">
        <f t="shared" si="1"/>
        <v/>
      </c>
      <c r="D46" s="41"/>
      <c r="E46" s="41"/>
      <c r="F46" s="41"/>
      <c r="G46" s="41"/>
      <c r="H46" s="41"/>
      <c r="I46" s="41"/>
      <c r="J46" s="43"/>
      <c r="K46" s="41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41"/>
      <c r="B47" s="41"/>
      <c r="C47" s="26" t="str">
        <f t="shared" si="1"/>
        <v/>
      </c>
      <c r="D47" s="41"/>
      <c r="E47" s="41"/>
      <c r="F47" s="41"/>
      <c r="G47" s="41"/>
      <c r="H47" s="41"/>
      <c r="I47" s="41"/>
      <c r="J47" s="43"/>
      <c r="K47" s="41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41"/>
      <c r="B48" s="41"/>
      <c r="C48" s="26" t="str">
        <f t="shared" si="1"/>
        <v/>
      </c>
      <c r="D48" s="41"/>
      <c r="E48" s="41"/>
      <c r="F48" s="41"/>
      <c r="G48" s="41"/>
      <c r="H48" s="41"/>
      <c r="I48" s="41"/>
      <c r="J48" s="43"/>
      <c r="K48" s="41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41"/>
      <c r="B49" s="41"/>
      <c r="C49" s="26" t="str">
        <f t="shared" si="1"/>
        <v/>
      </c>
      <c r="D49" s="41"/>
      <c r="E49" s="41"/>
      <c r="F49" s="41"/>
      <c r="G49" s="41"/>
      <c r="H49" s="41"/>
      <c r="I49" s="41"/>
      <c r="J49" s="43"/>
      <c r="K49" s="41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41"/>
      <c r="B50" s="41"/>
      <c r="C50" s="26" t="str">
        <f t="shared" si="1"/>
        <v/>
      </c>
      <c r="D50" s="41"/>
      <c r="E50" s="41"/>
      <c r="F50" s="41"/>
      <c r="G50" s="41"/>
      <c r="H50" s="41"/>
      <c r="I50" s="41"/>
      <c r="J50" s="43"/>
      <c r="K50" s="41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41"/>
      <c r="B51" s="41"/>
      <c r="C51" s="26" t="str">
        <f t="shared" si="1"/>
        <v/>
      </c>
      <c r="D51" s="41"/>
      <c r="E51" s="41"/>
      <c r="F51" s="41"/>
      <c r="G51" s="41"/>
      <c r="H51" s="41"/>
      <c r="I51" s="41"/>
      <c r="J51" s="43"/>
      <c r="K51" s="41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41"/>
      <c r="B52" s="41"/>
      <c r="C52" s="26" t="str">
        <f t="shared" si="1"/>
        <v/>
      </c>
      <c r="D52" s="41"/>
      <c r="E52" s="41"/>
      <c r="F52" s="41"/>
      <c r="G52" s="41"/>
      <c r="H52" s="41"/>
      <c r="I52" s="41"/>
      <c r="J52" s="43"/>
      <c r="K52" s="41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41"/>
      <c r="B53" s="41"/>
      <c r="C53" s="26" t="str">
        <f t="shared" si="1"/>
        <v/>
      </c>
      <c r="D53" s="41"/>
      <c r="E53" s="41"/>
      <c r="F53" s="41"/>
      <c r="G53" s="41"/>
      <c r="H53" s="41"/>
      <c r="I53" s="41"/>
      <c r="J53" s="43"/>
      <c r="K53" s="41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41"/>
      <c r="B54" s="41"/>
      <c r="C54" s="26" t="str">
        <f t="shared" si="1"/>
        <v/>
      </c>
      <c r="D54" s="41"/>
      <c r="E54" s="41"/>
      <c r="F54" s="41"/>
      <c r="G54" s="41"/>
      <c r="H54" s="41"/>
      <c r="I54" s="41"/>
      <c r="J54" s="43"/>
      <c r="K54" s="41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41"/>
      <c r="B55" s="41"/>
      <c r="C55" s="26" t="str">
        <f t="shared" si="1"/>
        <v/>
      </c>
      <c r="D55" s="41"/>
      <c r="E55" s="41"/>
      <c r="F55" s="41"/>
      <c r="G55" s="41"/>
      <c r="H55" s="41"/>
      <c r="I55" s="41"/>
      <c r="J55" s="43"/>
      <c r="K55" s="41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42"/>
      <c r="B56" s="42"/>
      <c r="C56" s="27" t="str">
        <f t="shared" si="1"/>
        <v/>
      </c>
      <c r="D56" s="42"/>
      <c r="E56" s="42"/>
      <c r="F56" s="42"/>
      <c r="G56" s="42"/>
      <c r="H56" s="42"/>
      <c r="I56" s="42"/>
      <c r="J56" s="44"/>
      <c r="K56" s="42"/>
      <c r="L56" s="27" t="str">
        <f>IFERROR(VLOOKUP(D56,ドメインタイプDATA,6,FALSE)&amp;"","")</f>
        <v/>
      </c>
      <c r="M56" s="27" t="str">
        <f>IFERROR(VLOOKUP(D56,ドメインタイプDATA,7,FALSE)&amp;"","")</f>
        <v/>
      </c>
      <c r="N56" s="36">
        <f ca="1">COUNTIF(派生元項目KEY,A56)</f>
        <v>0</v>
      </c>
      <c r="O56" s="36">
        <f ca="1">COUNTIF(区分値項目KEY,A56)</f>
        <v>0</v>
      </c>
    </row>
    <row r="57" spans="1:15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</sheetData>
  <phoneticPr fontId="1"/>
  <conditionalFormatting sqref="B2:B26 D2:D26 J2:K26">
    <cfRule type="expression" dxfId="17" priority="1" stopIfTrue="1">
      <formula>AND($A2&lt;&gt;"",B2="")</formula>
    </cfRule>
  </conditionalFormatting>
  <conditionalFormatting sqref="E22">
    <cfRule type="containsBlanks" dxfId="16" priority="2" stopIfTrue="1">
      <formula>LEN(TRIM(E22))=0</formula>
    </cfRule>
  </conditionalFormatting>
  <conditionalFormatting sqref="F2:G2 F12:G12 G14 F15:G15 G16 F17:G17 G18 F26:G26">
    <cfRule type="containsBlanks" dxfId="15" priority="3" stopIfTrue="1">
      <formula>LEN(TRIM(F2))=0</formula>
    </cfRule>
  </conditionalFormatting>
  <conditionalFormatting sqref="B27:B56 D27:D56 J27:K56">
    <cfRule type="expression" dxfId="0" priority="4" stopIfTrue="1">
      <formula>AND($A27&lt;&gt;"",B27="")</formula>
    </cfRule>
  </conditionalFormatting>
  <dataValidations count="13">
    <dataValidation imeMode="on" allowBlank="1" showInputMessage="1" showErrorMessage="1" sqref="K1990:K1048576 K1 A1 A1990:A1048576" xr:uid="{82371562-DA48-418A-B9E1-F875CA10CC30}"/>
    <dataValidation imeMode="off" allowBlank="1" showInputMessage="1" showErrorMessage="1" sqref="E1:J1 E1990:J1048576 B1 B1990:B1048576" xr:uid="{A44170C6-B920-46F2-AEA3-D4E9954343F7}"/>
    <dataValidation type="list" allowBlank="1" showInputMessage="1" showErrorMessage="1" sqref="D2:D26 D27:D56" xr:uid="{6091F766-549A-4FBC-838C-8FA76185EF42}">
      <formula1>ドメインタイプKEY</formula1>
    </dataValidation>
    <dataValidation imeMode="on" allowBlank="1" showInputMessage="1" showErrorMessage="1" sqref="K2:K26 A2:A26" xr:uid="{E0EBCF34-6D4F-4FF6-994E-A9F37E54DC27}"/>
    <dataValidation imeMode="off" allowBlank="1" showInputMessage="1" showErrorMessage="1" sqref="B2:B26" xr:uid="{0864AC14-5BC5-4897-821B-2D4924BAC8EA}"/>
    <dataValidation imeMode="off" allowBlank="1" showInputMessage="1" showErrorMessage="1" sqref="E22" xr:uid="{CE861EA5-DA37-4500-822A-4E08E372296B}"/>
    <dataValidation imeMode="off" allowBlank="1" showInputMessage="1" showErrorMessage="1" sqref="E7 E14 E16 E18" xr:uid="{789B55EA-5028-4C1A-BFC1-EE5AF2D51ED5}"/>
    <dataValidation type="whole" imeMode="off" allowBlank="1" showInputMessage="1" showErrorMessage="1" error="0-1000の間で入力可能" sqref="F2:G2 F12:G12 G14 F15:G15 G16 F17:G17 G18 F26:G26" xr:uid="{444236F5-B27E-4B65-9D88-4690EDEF8360}">
      <formula1>0</formula1>
      <formula2>1000</formula2>
    </dataValidation>
    <dataValidation type="whole" imeMode="off" allowBlank="1" showInputMessage="1" showErrorMessage="1" error="0-1000の間で入力可能" sqref="F6:F7 F9 F14 F16 F18 F24" xr:uid="{46842BD0-154F-4A41-B97B-B7213C062811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E24:E26 H26:I26" xr:uid="{33F70E76-D4B4-4A05-A122-FF60B7755FE3}">
      <formula1>0</formula1>
    </dataValidation>
    <dataValidation imeMode="on" allowBlank="1" showInputMessage="1" showErrorMessage="1" sqref="A27:A56 K27:K56" xr:uid="{91898E4F-8B3B-452E-A9E5-6BD9D7286D71}"/>
    <dataValidation imeMode="off" allowBlank="1" showInputMessage="1" showErrorMessage="1" sqref="B27:B56" xr:uid="{A1DCB421-79BB-418D-ACB3-6169C7124DFF}"/>
    <dataValidation type="textLength" imeMode="off" operator="equal" allowBlank="1" showInputMessage="1" showErrorMessage="1" error="入力不可項目です" sqref="E27:I27" xr:uid="{880534B4-4B88-4D9D-B0CE-AE511C1065E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45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84</v>
      </c>
      <c r="B2" s="41" t="s">
        <v>96</v>
      </c>
      <c r="C2" s="41" t="s">
        <v>112</v>
      </c>
      <c r="D2" s="26" t="str">
        <f t="shared" ref="D2:D35" si="0">camel2snake(C2)</f>
        <v>campane_price</v>
      </c>
      <c r="E2" s="41" t="s">
        <v>97</v>
      </c>
    </row>
    <row r="3" spans="1:5" x14ac:dyDescent="0.55000000000000004">
      <c r="A3" s="41" t="s">
        <v>136</v>
      </c>
      <c r="B3" s="41" t="s">
        <v>148</v>
      </c>
      <c r="C3" s="41" t="s">
        <v>149</v>
      </c>
      <c r="D3" s="26" t="str">
        <f t="shared" si="0"/>
        <v>order_pic</v>
      </c>
      <c r="E3" s="41" t="s">
        <v>151</v>
      </c>
    </row>
    <row r="4" spans="1:5" x14ac:dyDescent="0.55000000000000004">
      <c r="A4" s="41" t="s">
        <v>136</v>
      </c>
      <c r="B4" s="41" t="s">
        <v>150</v>
      </c>
      <c r="C4" s="41" t="s">
        <v>195</v>
      </c>
      <c r="D4" s="26" t="str">
        <f t="shared" si="0"/>
        <v>product_pic</v>
      </c>
      <c r="E4" s="41" t="s">
        <v>152</v>
      </c>
    </row>
    <row r="5" spans="1:5" x14ac:dyDescent="0.55000000000000004">
      <c r="A5" s="46" t="s">
        <v>129</v>
      </c>
      <c r="B5" s="46" t="s">
        <v>196</v>
      </c>
      <c r="C5" s="46" t="s">
        <v>197</v>
      </c>
      <c r="D5" s="38" t="str">
        <f t="shared" si="0"/>
        <v>salese_department</v>
      </c>
      <c r="E5" s="46" t="s">
        <v>196</v>
      </c>
    </row>
    <row r="6" spans="1:5" x14ac:dyDescent="0.55000000000000004">
      <c r="A6" s="41"/>
      <c r="B6" s="41"/>
      <c r="C6" s="41"/>
      <c r="D6" s="26" t="str">
        <f t="shared" ref="D6:D35" si="1">camel2snake(C6)</f>
        <v/>
      </c>
      <c r="E6" s="41"/>
    </row>
    <row r="7" spans="1:5" x14ac:dyDescent="0.55000000000000004">
      <c r="A7" s="41"/>
      <c r="B7" s="41"/>
      <c r="C7" s="41"/>
      <c r="D7" s="26" t="str">
        <f t="shared" si="1"/>
        <v/>
      </c>
      <c r="E7" s="41"/>
    </row>
    <row r="8" spans="1:5" x14ac:dyDescent="0.55000000000000004">
      <c r="A8" s="41"/>
      <c r="B8" s="41"/>
      <c r="C8" s="41"/>
      <c r="D8" s="26" t="str">
        <f t="shared" si="1"/>
        <v/>
      </c>
      <c r="E8" s="41"/>
    </row>
    <row r="9" spans="1:5" x14ac:dyDescent="0.55000000000000004">
      <c r="A9" s="41"/>
      <c r="B9" s="41"/>
      <c r="C9" s="41"/>
      <c r="D9" s="26" t="str">
        <f t="shared" si="1"/>
        <v/>
      </c>
      <c r="E9" s="41"/>
    </row>
    <row r="10" spans="1:5" x14ac:dyDescent="0.55000000000000004">
      <c r="A10" s="41"/>
      <c r="B10" s="41"/>
      <c r="C10" s="41"/>
      <c r="D10" s="26" t="str">
        <f t="shared" si="1"/>
        <v/>
      </c>
      <c r="E10" s="41"/>
    </row>
    <row r="11" spans="1:5" x14ac:dyDescent="0.55000000000000004">
      <c r="A11" s="41"/>
      <c r="B11" s="41"/>
      <c r="C11" s="41"/>
      <c r="D11" s="26" t="str">
        <f t="shared" si="1"/>
        <v/>
      </c>
      <c r="E11" s="41"/>
    </row>
    <row r="12" spans="1:5" x14ac:dyDescent="0.55000000000000004">
      <c r="A12" s="41"/>
      <c r="B12" s="41"/>
      <c r="C12" s="41"/>
      <c r="D12" s="26" t="str">
        <f t="shared" si="1"/>
        <v/>
      </c>
      <c r="E12" s="41"/>
    </row>
    <row r="13" spans="1:5" x14ac:dyDescent="0.55000000000000004">
      <c r="A13" s="41"/>
      <c r="B13" s="41"/>
      <c r="C13" s="41"/>
      <c r="D13" s="26" t="str">
        <f t="shared" si="1"/>
        <v/>
      </c>
      <c r="E13" s="41"/>
    </row>
    <row r="14" spans="1:5" x14ac:dyDescent="0.55000000000000004">
      <c r="A14" s="41"/>
      <c r="B14" s="41"/>
      <c r="C14" s="41"/>
      <c r="D14" s="26" t="str">
        <f t="shared" si="1"/>
        <v/>
      </c>
      <c r="E14" s="41"/>
    </row>
    <row r="15" spans="1:5" x14ac:dyDescent="0.55000000000000004">
      <c r="A15" s="41"/>
      <c r="B15" s="41"/>
      <c r="C15" s="41"/>
      <c r="D15" s="26" t="str">
        <f t="shared" si="1"/>
        <v/>
      </c>
      <c r="E15" s="41"/>
    </row>
    <row r="16" spans="1:5" x14ac:dyDescent="0.55000000000000004">
      <c r="A16" s="41"/>
      <c r="B16" s="41"/>
      <c r="C16" s="41"/>
      <c r="D16" s="26" t="str">
        <f t="shared" si="1"/>
        <v/>
      </c>
      <c r="E16" s="41"/>
    </row>
    <row r="17" spans="1:5" x14ac:dyDescent="0.55000000000000004">
      <c r="A17" s="41"/>
      <c r="B17" s="41"/>
      <c r="C17" s="41"/>
      <c r="D17" s="26" t="str">
        <f t="shared" si="1"/>
        <v/>
      </c>
      <c r="E17" s="41"/>
    </row>
    <row r="18" spans="1:5" x14ac:dyDescent="0.55000000000000004">
      <c r="A18" s="41"/>
      <c r="B18" s="41"/>
      <c r="C18" s="41"/>
      <c r="D18" s="26" t="str">
        <f t="shared" si="1"/>
        <v/>
      </c>
      <c r="E18" s="41"/>
    </row>
    <row r="19" spans="1:5" x14ac:dyDescent="0.55000000000000004">
      <c r="A19" s="41"/>
      <c r="B19" s="41"/>
      <c r="C19" s="41"/>
      <c r="D19" s="26" t="str">
        <f t="shared" si="1"/>
        <v/>
      </c>
      <c r="E19" s="41"/>
    </row>
    <row r="20" spans="1:5" x14ac:dyDescent="0.55000000000000004">
      <c r="A20" s="41"/>
      <c r="B20" s="41"/>
      <c r="C20" s="41"/>
      <c r="D20" s="26" t="str">
        <f t="shared" si="1"/>
        <v/>
      </c>
      <c r="E20" s="41"/>
    </row>
    <row r="21" spans="1:5" x14ac:dyDescent="0.55000000000000004">
      <c r="A21" s="41"/>
      <c r="B21" s="41"/>
      <c r="C21" s="41"/>
      <c r="D21" s="26" t="str">
        <f t="shared" si="1"/>
        <v/>
      </c>
      <c r="E21" s="41"/>
    </row>
    <row r="22" spans="1:5" x14ac:dyDescent="0.55000000000000004">
      <c r="A22" s="41"/>
      <c r="B22" s="41"/>
      <c r="C22" s="41"/>
      <c r="D22" s="26" t="str">
        <f t="shared" si="1"/>
        <v/>
      </c>
      <c r="E22" s="41"/>
    </row>
    <row r="23" spans="1:5" x14ac:dyDescent="0.55000000000000004">
      <c r="A23" s="41"/>
      <c r="B23" s="41"/>
      <c r="C23" s="41"/>
      <c r="D23" s="26" t="str">
        <f t="shared" si="1"/>
        <v/>
      </c>
      <c r="E23" s="41"/>
    </row>
    <row r="24" spans="1:5" x14ac:dyDescent="0.55000000000000004">
      <c r="A24" s="41"/>
      <c r="B24" s="41"/>
      <c r="C24" s="41"/>
      <c r="D24" s="26" t="str">
        <f t="shared" si="1"/>
        <v/>
      </c>
      <c r="E24" s="41"/>
    </row>
    <row r="25" spans="1:5" x14ac:dyDescent="0.55000000000000004">
      <c r="A25" s="41"/>
      <c r="B25" s="41"/>
      <c r="C25" s="41"/>
      <c r="D25" s="26" t="str">
        <f t="shared" si="1"/>
        <v/>
      </c>
      <c r="E25" s="41"/>
    </row>
    <row r="26" spans="1:5" x14ac:dyDescent="0.55000000000000004">
      <c r="A26" s="41"/>
      <c r="B26" s="41"/>
      <c r="C26" s="41"/>
      <c r="D26" s="26" t="str">
        <f t="shared" si="1"/>
        <v/>
      </c>
      <c r="E26" s="41"/>
    </row>
    <row r="27" spans="1:5" x14ac:dyDescent="0.55000000000000004">
      <c r="A27" s="41"/>
      <c r="B27" s="41"/>
      <c r="C27" s="41"/>
      <c r="D27" s="26" t="str">
        <f t="shared" si="1"/>
        <v/>
      </c>
      <c r="E27" s="41"/>
    </row>
    <row r="28" spans="1:5" x14ac:dyDescent="0.55000000000000004">
      <c r="A28" s="41"/>
      <c r="B28" s="41"/>
      <c r="C28" s="41"/>
      <c r="D28" s="26" t="str">
        <f t="shared" si="1"/>
        <v/>
      </c>
      <c r="E28" s="41"/>
    </row>
    <row r="29" spans="1:5" x14ac:dyDescent="0.55000000000000004">
      <c r="A29" s="41"/>
      <c r="B29" s="41"/>
      <c r="C29" s="41"/>
      <c r="D29" s="26" t="str">
        <f t="shared" si="1"/>
        <v/>
      </c>
      <c r="E29" s="41"/>
    </row>
    <row r="30" spans="1:5" x14ac:dyDescent="0.55000000000000004">
      <c r="A30" s="41"/>
      <c r="B30" s="41"/>
      <c r="C30" s="41"/>
      <c r="D30" s="26" t="str">
        <f t="shared" si="1"/>
        <v/>
      </c>
      <c r="E30" s="41"/>
    </row>
    <row r="31" spans="1:5" x14ac:dyDescent="0.55000000000000004">
      <c r="A31" s="41"/>
      <c r="B31" s="41"/>
      <c r="C31" s="41"/>
      <c r="D31" s="26" t="str">
        <f t="shared" si="1"/>
        <v/>
      </c>
      <c r="E31" s="41"/>
    </row>
    <row r="32" spans="1:5" x14ac:dyDescent="0.55000000000000004">
      <c r="A32" s="41"/>
      <c r="B32" s="41"/>
      <c r="C32" s="41"/>
      <c r="D32" s="26" t="str">
        <f t="shared" si="1"/>
        <v/>
      </c>
      <c r="E32" s="41"/>
    </row>
    <row r="33" spans="1:5" x14ac:dyDescent="0.55000000000000004">
      <c r="A33" s="41"/>
      <c r="B33" s="41"/>
      <c r="C33" s="41"/>
      <c r="D33" s="26" t="str">
        <f t="shared" si="1"/>
        <v/>
      </c>
      <c r="E33" s="41"/>
    </row>
    <row r="34" spans="1:5" x14ac:dyDescent="0.55000000000000004">
      <c r="A34" s="41"/>
      <c r="B34" s="41"/>
      <c r="C34" s="41"/>
      <c r="D34" s="26" t="str">
        <f t="shared" si="1"/>
        <v/>
      </c>
      <c r="E34" s="41"/>
    </row>
    <row r="35" spans="1:5" x14ac:dyDescent="0.55000000000000004">
      <c r="A35" s="42"/>
      <c r="B35" s="42"/>
      <c r="C35" s="42"/>
      <c r="D35" s="27" t="str">
        <f t="shared" si="1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</sheetData>
  <phoneticPr fontId="1"/>
  <conditionalFormatting sqref="A2:A5">
    <cfRule type="expression" dxfId="14" priority="1" stopIfTrue="1">
      <formula>AND(A2&lt;&gt;"",ISNA(MATCH(A2,項目リスト,0)))</formula>
    </cfRule>
  </conditionalFormatting>
  <conditionalFormatting sqref="B2:C5 E2:E5">
    <cfRule type="expression" dxfId="13" priority="2" stopIfTrue="1">
      <formula>AND($A2&lt;&gt;"",B2="")</formula>
    </cfRule>
  </conditionalFormatting>
  <conditionalFormatting sqref="A6:A35">
    <cfRule type="expression" dxfId="4" priority="3" stopIfTrue="1">
      <formula>AND(A6&lt;&gt;"",ISNA(MATCH(A6,項目リスト,0)))</formula>
    </cfRule>
  </conditionalFormatting>
  <conditionalFormatting sqref="B6:C35 E6:E35">
    <cfRule type="expression" dxfId="3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45E0D380-E71D-412A-B0C0-5B77EE458F80}"/>
    <dataValidation imeMode="off" allowBlank="1" showInputMessage="1" showErrorMessage="1" sqref="C2:C5" xr:uid="{5DCAF451-00F3-41D1-8A97-05A62701E4BD}"/>
    <dataValidation imeMode="on" allowBlank="1" showInputMessage="1" showErrorMessage="1" sqref="B6:B35 E6:E35" xr:uid="{7D3D5EEA-EB01-4769-BC78-8379509FB3B6}"/>
    <dataValidation imeMode="off" allowBlank="1" showInputMessage="1" showErrorMessage="1" sqref="C6:C35" xr:uid="{AB9F1770-D934-4782-9161-D05C61F239B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873"/>
  <sheetViews>
    <sheetView showGridLines="0" workbookViewId="0">
      <pane ySplit="1" topLeftCell="A2" activePane="bottomLeft" state="frozen"/>
      <selection activeCell="E5" sqref="E5"/>
      <selection pane="bottomLeft" activeCell="D15" sqref="A15:D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41" t="s">
        <v>98</v>
      </c>
      <c r="B2" s="41" t="s">
        <v>124</v>
      </c>
      <c r="C2" s="41" t="s">
        <v>102</v>
      </c>
      <c r="D2" s="41" t="s">
        <v>103</v>
      </c>
    </row>
    <row r="3" spans="1:4" x14ac:dyDescent="0.55000000000000004">
      <c r="A3" s="41" t="s">
        <v>98</v>
      </c>
      <c r="B3" s="41" t="s">
        <v>128</v>
      </c>
      <c r="C3" s="41" t="s">
        <v>101</v>
      </c>
      <c r="D3" s="41" t="s">
        <v>104</v>
      </c>
    </row>
    <row r="4" spans="1:4" x14ac:dyDescent="0.55000000000000004">
      <c r="A4" s="41" t="s">
        <v>98</v>
      </c>
      <c r="B4" s="41" t="s">
        <v>125</v>
      </c>
      <c r="C4" s="41" t="s">
        <v>105</v>
      </c>
      <c r="D4" s="41" t="s">
        <v>108</v>
      </c>
    </row>
    <row r="5" spans="1:4" x14ac:dyDescent="0.55000000000000004">
      <c r="A5" s="41" t="s">
        <v>98</v>
      </c>
      <c r="B5" s="41" t="s">
        <v>126</v>
      </c>
      <c r="C5" s="41" t="s">
        <v>106</v>
      </c>
      <c r="D5" s="41" t="s">
        <v>107</v>
      </c>
    </row>
    <row r="6" spans="1:4" x14ac:dyDescent="0.55000000000000004">
      <c r="A6" s="41" t="s">
        <v>129</v>
      </c>
      <c r="B6" s="41" t="s">
        <v>153</v>
      </c>
      <c r="C6" s="41" t="s">
        <v>154</v>
      </c>
      <c r="D6" s="41" t="s">
        <v>155</v>
      </c>
    </row>
    <row r="7" spans="1:4" x14ac:dyDescent="0.55000000000000004">
      <c r="A7" s="41" t="s">
        <v>129</v>
      </c>
      <c r="B7" s="41" t="s">
        <v>156</v>
      </c>
      <c r="C7" s="41" t="s">
        <v>157</v>
      </c>
      <c r="D7" s="41" t="s">
        <v>158</v>
      </c>
    </row>
    <row r="8" spans="1:4" x14ac:dyDescent="0.55000000000000004">
      <c r="A8" s="41" t="s">
        <v>129</v>
      </c>
      <c r="B8" s="41" t="s">
        <v>159</v>
      </c>
      <c r="C8" s="41" t="s">
        <v>160</v>
      </c>
      <c r="D8" s="41" t="s">
        <v>161</v>
      </c>
    </row>
    <row r="9" spans="1:4" x14ac:dyDescent="0.55000000000000004">
      <c r="A9" s="41" t="s">
        <v>129</v>
      </c>
      <c r="B9" s="41" t="s">
        <v>162</v>
      </c>
      <c r="C9" s="41" t="s">
        <v>163</v>
      </c>
      <c r="D9" s="41" t="s">
        <v>164</v>
      </c>
    </row>
    <row r="10" spans="1:4" x14ac:dyDescent="0.55000000000000004">
      <c r="A10" s="41" t="s">
        <v>129</v>
      </c>
      <c r="B10" s="41" t="s">
        <v>165</v>
      </c>
      <c r="C10" s="41" t="s">
        <v>166</v>
      </c>
      <c r="D10" s="41" t="s">
        <v>167</v>
      </c>
    </row>
    <row r="11" spans="1:4" x14ac:dyDescent="0.55000000000000004">
      <c r="A11" s="41" t="s">
        <v>204</v>
      </c>
      <c r="B11" s="41" t="s">
        <v>210</v>
      </c>
      <c r="C11" s="41" t="s">
        <v>211</v>
      </c>
      <c r="D11" s="41" t="s">
        <v>211</v>
      </c>
    </row>
    <row r="12" spans="1:4" x14ac:dyDescent="0.55000000000000004">
      <c r="A12" s="41" t="s">
        <v>204</v>
      </c>
      <c r="B12" s="41" t="s">
        <v>208</v>
      </c>
      <c r="C12" s="41" t="s">
        <v>101</v>
      </c>
      <c r="D12" s="41" t="s">
        <v>212</v>
      </c>
    </row>
    <row r="13" spans="1:4" x14ac:dyDescent="0.55000000000000004">
      <c r="A13" s="41" t="s">
        <v>204</v>
      </c>
      <c r="B13" s="41" t="s">
        <v>213</v>
      </c>
      <c r="C13" s="41" t="s">
        <v>214</v>
      </c>
      <c r="D13" s="41" t="s">
        <v>214</v>
      </c>
    </row>
    <row r="14" spans="1:4" x14ac:dyDescent="0.55000000000000004">
      <c r="A14" s="46" t="s">
        <v>204</v>
      </c>
      <c r="B14" s="46" t="s">
        <v>215</v>
      </c>
      <c r="C14" s="46" t="s">
        <v>216</v>
      </c>
      <c r="D14" s="46" t="s">
        <v>216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</sheetData>
  <phoneticPr fontId="1"/>
  <conditionalFormatting sqref="A2:A14">
    <cfRule type="expression" dxfId="12" priority="1" stopIfTrue="1">
      <formula>AND(A2&lt;&gt;"",ISNA(MATCH(A2,区分値リスト,0)))</formula>
    </cfRule>
  </conditionalFormatting>
  <conditionalFormatting sqref="B2:D14">
    <cfRule type="expression" dxfId="11" priority="2" stopIfTrue="1">
      <formula>AND($A2&lt;&gt;"",B2="")</formula>
    </cfRule>
  </conditionalFormatting>
  <conditionalFormatting sqref="A15:A44">
    <cfRule type="expression" dxfId="2" priority="3" stopIfTrue="1">
      <formula>AND(A15&lt;&gt;"",ISNA(MATCH(A15,区分値リスト,0)))</formula>
    </cfRule>
  </conditionalFormatting>
  <conditionalFormatting sqref="B15:D44">
    <cfRule type="expression" dxfId="1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49CB0E7A-B259-44B3-AA3F-17A0F44F18DB}"/>
    <dataValidation imeMode="off" allowBlank="1" showInputMessage="1" showErrorMessage="1" sqref="B2:B14" xr:uid="{B300F7DE-FC3B-4EBE-BF99-E1DAB90611F4}"/>
    <dataValidation imeMode="on" allowBlank="1" showInputMessage="1" showErrorMessage="1" sqref="C15:D44" xr:uid="{EC3FEFEC-B5EC-46A8-BB5B-4513635F55B1}"/>
    <dataValidation imeMode="off" allowBlank="1" showInputMessage="1" showErrorMessage="1" sqref="B15:B44" xr:uid="{9D35149C-D47F-47E5-8ECE-2BBB523F4D87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tabSelected="1" workbookViewId="0">
      <pane ySplit="1" topLeftCell="A2" activePane="bottomLeft" state="frozen"/>
      <selection pane="bottomLeft" activeCell="F2" sqref="F2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220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225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0" priority="1" operator="equal">
      <formula>0</formula>
    </cfRule>
    <cfRule type="cellIs" dxfId="19" priority="2" operator="lessThan">
      <formula>0</formula>
    </cfRule>
    <cfRule type="cellIs" dxfId="1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6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217</v>
      </c>
    </row>
    <row r="17" spans="4:4" x14ac:dyDescent="0.55000000000000004">
      <c r="D17" t="s">
        <v>168</v>
      </c>
    </row>
    <row r="18" spans="4:4" x14ac:dyDescent="0.55000000000000004">
      <c r="D18" t="s">
        <v>218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  <row r="25" spans="4:4" x14ac:dyDescent="0.55000000000000004">
      <c r="D25" t="s">
        <v>223</v>
      </c>
    </row>
    <row r="26" spans="4:4" x14ac:dyDescent="0.55000000000000004">
      <c r="D26" t="s">
        <v>224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2024-01-28T14:34:16Z</dcterms:modified>
</cp:coreProperties>
</file>