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27615E73-B8A5-45A6-BED3-82FC998C7DF3}" xr6:coauthVersionLast="47" xr6:coauthVersionMax="47" xr10:uidLastSave="{00000000-0000-0000-0000-000000000000}"/>
  <bookViews>
    <workbookView xWindow="-110" yWindow="-110" windowWidth="19420" windowHeight="10300" activeTab="2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4" i="3"/>
  <c r="C20" i="3"/>
  <c r="C28" i="3"/>
  <c r="C36" i="3"/>
  <c r="C44" i="3"/>
  <c r="C52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16" i="3"/>
  <c r="C8" i="3"/>
  <c r="C24" i="3"/>
  <c r="C32" i="3"/>
  <c r="C40" i="3"/>
  <c r="C48" i="3"/>
  <c r="C56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12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<sst xmlns="http://schemas.openxmlformats.org/spreadsheetml/2006/main" count="376" uniqueCount="239">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</sst>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4" fillId="5" borderId="12" xfId="0" applyFont="1" applyFill="1" applyBorder="1">
      <alignment vertical="center"/>
    </xf>
  </cellXfs>
  <cellStyles count="1">
    <cellStyle name="標準" xfId="0" builtinId="0"/>
  </cellStyles>
  <dxfs count="3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77"/>
  <sheetViews>
    <sheetView showGridLines="0" zoomScaleNormal="100" workbookViewId="0">
      <pane ySplit="1" topLeftCell="A12" activePane="bottomLeft" state="frozen"/>
      <selection activeCell="E5" sqref="E5"/>
      <selection pane="bottomLeft" activeCell="E22" sqref="E22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0" t="s">
        <v>163</v>
      </c>
      <c r="B2" s="40" t="s">
        <v>167</v>
      </c>
      <c r="C2" s="38" t="str">
        <f t="shared" ref="C2:C33" si="0">camel2snake(B2)</f>
        <v>product_no</v>
      </c>
      <c r="D2" s="40" t="s">
        <v>207</v>
      </c>
      <c r="E2" s="46"/>
      <c r="F2" s="45">
        <v>9</v>
      </c>
      <c r="G2" s="45">
        <v>10</v>
      </c>
      <c r="H2" s="46"/>
      <c r="I2" s="46"/>
      <c r="J2" s="41" t="s">
        <v>87</v>
      </c>
      <c r="K2" s="40" t="s">
        <v>105</v>
      </c>
      <c r="L2" s="39">
        <f ca="1">COUNTIF(派生元項目KEY,A2)</f>
        <v>0</v>
      </c>
      <c r="M2" s="39">
        <f ca="1">COUNTIF(区分値項目KEY,A2)</f>
        <v>0</v>
      </c>
      <c r="N2"/>
      <c r="O2"/>
    </row>
    <row r="3" spans="1:15" ht="18" x14ac:dyDescent="0.55000000000000004">
      <c r="A3" s="40" t="s">
        <v>83</v>
      </c>
      <c r="B3" s="40" t="s">
        <v>85</v>
      </c>
      <c r="C3" s="38" t="str">
        <f t="shared" si="0"/>
        <v>price</v>
      </c>
      <c r="D3" s="40" t="s">
        <v>88</v>
      </c>
      <c r="E3" s="46"/>
      <c r="F3" s="46"/>
      <c r="G3" s="46"/>
      <c r="H3" s="45">
        <v>0</v>
      </c>
      <c r="I3" s="45"/>
      <c r="J3" s="41" t="s">
        <v>227</v>
      </c>
      <c r="K3" s="40" t="s">
        <v>106</v>
      </c>
      <c r="L3" s="39">
        <f ca="1">COUNTIF(派生元項目KEY,A3)</f>
        <v>1</v>
      </c>
      <c r="M3" s="39">
        <f ca="1">COUNTIF(区分値項目KEY,A3)</f>
        <v>0</v>
      </c>
      <c r="N3"/>
      <c r="O3"/>
    </row>
    <row r="4" spans="1:15" ht="18" x14ac:dyDescent="0.55000000000000004">
      <c r="A4" s="40" t="s">
        <v>84</v>
      </c>
      <c r="B4" s="40" t="s">
        <v>86</v>
      </c>
      <c r="C4" s="38" t="str">
        <f t="shared" si="0"/>
        <v>up</v>
      </c>
      <c r="D4" s="40" t="s">
        <v>90</v>
      </c>
      <c r="E4" s="46"/>
      <c r="F4" s="46"/>
      <c r="G4" s="46"/>
      <c r="H4" s="45">
        <v>-1000</v>
      </c>
      <c r="I4" s="45">
        <v>1000</v>
      </c>
      <c r="J4" s="41" t="s">
        <v>228</v>
      </c>
      <c r="K4" s="40" t="s">
        <v>107</v>
      </c>
      <c r="L4" s="39">
        <f ca="1">COUNTIF(派生元項目KEY,A4)</f>
        <v>0</v>
      </c>
      <c r="M4" s="39">
        <f ca="1">COUNTIF(区分値項目KEY,A4)</f>
        <v>0</v>
      </c>
      <c r="N4"/>
      <c r="O4"/>
    </row>
    <row r="5" spans="1:15" ht="18" x14ac:dyDescent="0.55000000000000004">
      <c r="A5" s="40" t="s">
        <v>91</v>
      </c>
      <c r="B5" s="40" t="s">
        <v>193</v>
      </c>
      <c r="C5" s="38" t="str">
        <f t="shared" si="0"/>
        <v>registration_date</v>
      </c>
      <c r="D5" s="40" t="s">
        <v>89</v>
      </c>
      <c r="E5" s="46"/>
      <c r="F5" s="46"/>
      <c r="G5" s="46"/>
      <c r="H5" s="46"/>
      <c r="I5" s="46"/>
      <c r="J5" s="41" t="s">
        <v>232</v>
      </c>
      <c r="K5" s="40" t="s">
        <v>91</v>
      </c>
      <c r="L5" s="39">
        <f ca="1">COUNTIF(派生元項目KEY,A5)</f>
        <v>0</v>
      </c>
      <c r="M5" s="39">
        <f ca="1">COUNTIF(区分値項目KEY,A5)</f>
        <v>0</v>
      </c>
      <c r="N5"/>
      <c r="O5"/>
    </row>
    <row r="6" spans="1:15" ht="18" x14ac:dyDescent="0.55000000000000004">
      <c r="A6" s="40" t="s">
        <v>94</v>
      </c>
      <c r="B6" s="40" t="s">
        <v>95</v>
      </c>
      <c r="C6" s="38" t="str">
        <f t="shared" si="0"/>
        <v>product_kbn</v>
      </c>
      <c r="D6" s="40" t="s">
        <v>209</v>
      </c>
      <c r="E6" s="46"/>
      <c r="F6" s="45"/>
      <c r="G6" s="45"/>
      <c r="H6" s="46"/>
      <c r="I6" s="46"/>
      <c r="J6" s="41" t="s">
        <v>123</v>
      </c>
      <c r="K6" s="40" t="s">
        <v>96</v>
      </c>
      <c r="L6" s="39">
        <f ca="1">COUNTIF(派生元項目KEY,A6)</f>
        <v>0</v>
      </c>
      <c r="M6" s="39">
        <f ca="1">COUNTIF(区分値項目KEY,A6)</f>
        <v>4</v>
      </c>
      <c r="N6"/>
      <c r="O6"/>
    </row>
    <row r="7" spans="1:15" ht="18" x14ac:dyDescent="0.55000000000000004">
      <c r="A7" s="40" t="s">
        <v>109</v>
      </c>
      <c r="B7" s="40" t="s">
        <v>111</v>
      </c>
      <c r="C7" s="38" t="str">
        <f t="shared" si="0"/>
        <v>comment</v>
      </c>
      <c r="D7" s="40" t="s">
        <v>110</v>
      </c>
      <c r="E7" s="44"/>
      <c r="F7" s="45">
        <v>10</v>
      </c>
      <c r="G7" s="46"/>
      <c r="H7" s="46"/>
      <c r="I7" s="46"/>
      <c r="J7" s="41" t="s">
        <v>112</v>
      </c>
      <c r="K7" s="40" t="s">
        <v>109</v>
      </c>
      <c r="L7" s="39">
        <f ca="1">COUNTIF(派生元項目KEY,A7)</f>
        <v>0</v>
      </c>
      <c r="M7" s="39">
        <f ca="1">COUNTIF(区分値項目KEY,A7)</f>
        <v>0</v>
      </c>
      <c r="N7"/>
      <c r="O7"/>
    </row>
    <row r="8" spans="1:15" ht="18" x14ac:dyDescent="0.55000000000000004">
      <c r="A8" s="40" t="s">
        <v>113</v>
      </c>
      <c r="B8" s="40" t="s">
        <v>118</v>
      </c>
      <c r="C8" s="38" t="str">
        <f t="shared" si="0"/>
        <v>can_update</v>
      </c>
      <c r="D8" s="40" t="s">
        <v>114</v>
      </c>
      <c r="E8" s="46"/>
      <c r="F8" s="46"/>
      <c r="G8" s="46"/>
      <c r="H8" s="46"/>
      <c r="I8" s="46"/>
      <c r="J8" s="41" t="s">
        <v>233</v>
      </c>
      <c r="K8" s="40" t="s">
        <v>115</v>
      </c>
      <c r="L8" s="39">
        <f ca="1">COUNTIF(派生元項目KEY,A8)</f>
        <v>0</v>
      </c>
      <c r="M8" s="39">
        <f ca="1">COUNTIF(区分値項目KEY,A8)</f>
        <v>0</v>
      </c>
      <c r="N8"/>
      <c r="O8"/>
    </row>
    <row r="9" spans="1:15" ht="18" x14ac:dyDescent="0.55000000000000004">
      <c r="A9" s="40" t="s">
        <v>124</v>
      </c>
      <c r="B9" s="40" t="s">
        <v>183</v>
      </c>
      <c r="C9" s="38" t="str">
        <f t="shared" si="0"/>
        <v>department</v>
      </c>
      <c r="D9" s="40" t="s">
        <v>209</v>
      </c>
      <c r="E9" s="46"/>
      <c r="F9" s="45"/>
      <c r="G9" s="45"/>
      <c r="H9" s="46"/>
      <c r="I9" s="46"/>
      <c r="J9" s="41" t="s">
        <v>149</v>
      </c>
      <c r="K9" s="40" t="s">
        <v>124</v>
      </c>
      <c r="L9" s="39">
        <f ca="1">COUNTIF(派生元項目KEY,A9)</f>
        <v>1</v>
      </c>
      <c r="M9" s="39">
        <f ca="1">COUNTIF(区分値項目KEY,A9)</f>
        <v>5</v>
      </c>
      <c r="N9"/>
      <c r="O9"/>
    </row>
    <row r="10" spans="1:15" ht="18" x14ac:dyDescent="0.55000000000000004">
      <c r="A10" s="40" t="s">
        <v>125</v>
      </c>
      <c r="B10" s="40" t="s">
        <v>132</v>
      </c>
      <c r="C10" s="38" t="str">
        <f t="shared" si="0"/>
        <v>order_date</v>
      </c>
      <c r="D10" s="40" t="s">
        <v>89</v>
      </c>
      <c r="E10" s="46"/>
      <c r="F10" s="46"/>
      <c r="G10" s="46"/>
      <c r="H10" s="46"/>
      <c r="I10" s="46"/>
      <c r="J10" s="41" t="s">
        <v>232</v>
      </c>
      <c r="K10" s="40" t="s">
        <v>125</v>
      </c>
      <c r="L10" s="39">
        <f ca="1">COUNTIF(派生元項目KEY,A10)</f>
        <v>0</v>
      </c>
      <c r="M10" s="39">
        <f ca="1">COUNTIF(区分値項目KEY,A10)</f>
        <v>0</v>
      </c>
      <c r="N10"/>
      <c r="O10"/>
    </row>
    <row r="11" spans="1:15" ht="18" x14ac:dyDescent="0.55000000000000004">
      <c r="A11" s="40" t="s">
        <v>126</v>
      </c>
      <c r="B11" s="40" t="s">
        <v>133</v>
      </c>
      <c r="C11" s="38" t="str">
        <f t="shared" si="0"/>
        <v>quantity</v>
      </c>
      <c r="D11" s="40" t="s">
        <v>88</v>
      </c>
      <c r="E11" s="46"/>
      <c r="F11" s="46"/>
      <c r="G11" s="46"/>
      <c r="H11" s="45">
        <v>0</v>
      </c>
      <c r="I11" s="45">
        <v>99999</v>
      </c>
      <c r="J11" s="41" t="s">
        <v>229</v>
      </c>
      <c r="K11" s="40" t="s">
        <v>126</v>
      </c>
      <c r="L11" s="39">
        <f ca="1">COUNTIF(派生元項目KEY,A11)</f>
        <v>0</v>
      </c>
      <c r="M11" s="39">
        <f ca="1">COUNTIF(区分値項目KEY,A11)</f>
        <v>0</v>
      </c>
      <c r="N11"/>
      <c r="O11"/>
    </row>
    <row r="12" spans="1:15" ht="18" x14ac:dyDescent="0.55000000000000004">
      <c r="A12" s="40" t="s">
        <v>164</v>
      </c>
      <c r="B12" s="40" t="s">
        <v>168</v>
      </c>
      <c r="C12" s="38" t="str">
        <f t="shared" si="0"/>
        <v>received_order_no</v>
      </c>
      <c r="D12" s="40" t="s">
        <v>207</v>
      </c>
      <c r="E12" s="46"/>
      <c r="F12" s="45">
        <v>10</v>
      </c>
      <c r="G12" s="45">
        <v>10</v>
      </c>
      <c r="H12" s="46"/>
      <c r="I12" s="46"/>
      <c r="J12" s="41" t="s">
        <v>136</v>
      </c>
      <c r="K12" s="40" t="s">
        <v>127</v>
      </c>
      <c r="L12" s="39">
        <f ca="1">COUNTIF(派生元項目KEY,A12)</f>
        <v>0</v>
      </c>
      <c r="M12" s="39">
        <f ca="1">COUNTIF(区分値項目KEY,A12)</f>
        <v>0</v>
      </c>
      <c r="N12"/>
      <c r="O12"/>
    </row>
    <row r="13" spans="1:15" ht="18" x14ac:dyDescent="0.55000000000000004">
      <c r="A13" s="40" t="s">
        <v>128</v>
      </c>
      <c r="B13" s="40" t="s">
        <v>134</v>
      </c>
      <c r="C13" s="38" t="str">
        <f t="shared" si="0"/>
        <v>order_detail_no</v>
      </c>
      <c r="D13" s="40" t="s">
        <v>129</v>
      </c>
      <c r="E13" s="46"/>
      <c r="F13" s="46"/>
      <c r="G13" s="46"/>
      <c r="H13" s="46"/>
      <c r="I13" s="46"/>
      <c r="J13" s="41" t="s">
        <v>230</v>
      </c>
      <c r="K13" s="40" t="s">
        <v>174</v>
      </c>
      <c r="L13" s="39">
        <f ca="1">COUNTIF(派生元項目KEY,A13)</f>
        <v>0</v>
      </c>
      <c r="M13" s="39">
        <f ca="1">COUNTIF(区分値項目KEY,A13)</f>
        <v>0</v>
      </c>
      <c r="N13"/>
      <c r="O13"/>
    </row>
    <row r="14" spans="1:15" ht="18" x14ac:dyDescent="0.55000000000000004">
      <c r="A14" s="40" t="s">
        <v>130</v>
      </c>
      <c r="B14" s="40" t="s">
        <v>169</v>
      </c>
      <c r="C14" s="38" t="str">
        <f t="shared" si="0"/>
        <v>person_in_charge</v>
      </c>
      <c r="D14" s="40" t="s">
        <v>137</v>
      </c>
      <c r="E14" s="44"/>
      <c r="F14" s="45"/>
      <c r="G14" s="45">
        <v>30</v>
      </c>
      <c r="H14" s="46"/>
      <c r="I14" s="46"/>
      <c r="J14" s="41" t="s">
        <v>138</v>
      </c>
      <c r="K14" s="40" t="s">
        <v>139</v>
      </c>
      <c r="L14" s="39">
        <f ca="1">COUNTIF(派生元項目KEY,A14)</f>
        <v>0</v>
      </c>
      <c r="M14" s="39">
        <f ca="1">COUNTIF(区分値項目KEY,A14)</f>
        <v>0</v>
      </c>
      <c r="N14"/>
      <c r="O14"/>
    </row>
    <row r="15" spans="1:15" ht="18" x14ac:dyDescent="0.55000000000000004">
      <c r="A15" s="40" t="s">
        <v>131</v>
      </c>
      <c r="B15" s="40" t="s">
        <v>135</v>
      </c>
      <c r="C15" s="38" t="str">
        <f t="shared" si="0"/>
        <v>user_id</v>
      </c>
      <c r="D15" s="40" t="s">
        <v>207</v>
      </c>
      <c r="E15" s="46"/>
      <c r="F15" s="45">
        <v>4</v>
      </c>
      <c r="G15" s="45">
        <v>4</v>
      </c>
      <c r="H15" s="46"/>
      <c r="I15" s="46"/>
      <c r="J15" s="41" t="s">
        <v>210</v>
      </c>
      <c r="K15" s="40" t="s">
        <v>140</v>
      </c>
      <c r="L15" s="39">
        <f ca="1">COUNTIF(派生元項目KEY,A15)</f>
        <v>2</v>
      </c>
      <c r="M15" s="39">
        <f ca="1">COUNTIF(区分値項目KEY,A15)</f>
        <v>0</v>
      </c>
      <c r="N15"/>
      <c r="O15"/>
    </row>
    <row r="16" spans="1:15" ht="18" x14ac:dyDescent="0.55000000000000004">
      <c r="A16" s="40" t="s">
        <v>205</v>
      </c>
      <c r="B16" s="40" t="s">
        <v>170</v>
      </c>
      <c r="C16" s="38" t="str">
        <f t="shared" si="0"/>
        <v>product_name</v>
      </c>
      <c r="D16" s="40" t="s">
        <v>137</v>
      </c>
      <c r="E16" s="44"/>
      <c r="F16" s="45"/>
      <c r="G16" s="45">
        <v>100</v>
      </c>
      <c r="H16" s="46"/>
      <c r="I16" s="46"/>
      <c r="J16" s="41" t="s">
        <v>175</v>
      </c>
      <c r="K16" s="40" t="s">
        <v>176</v>
      </c>
      <c r="L16" s="39">
        <f ca="1">COUNTIF(派生元項目KEY,A16)</f>
        <v>0</v>
      </c>
      <c r="M16" s="39">
        <f ca="1">COUNTIF(区分値項目KEY,A16)</f>
        <v>0</v>
      </c>
      <c r="N16"/>
      <c r="O16"/>
    </row>
    <row r="17" spans="1:15" ht="18" x14ac:dyDescent="0.55000000000000004">
      <c r="A17" s="40" t="s">
        <v>161</v>
      </c>
      <c r="B17" s="40" t="s">
        <v>225</v>
      </c>
      <c r="C17" s="38" t="str">
        <f t="shared" si="0"/>
        <v>customer_id</v>
      </c>
      <c r="D17" s="40" t="s">
        <v>207</v>
      </c>
      <c r="E17" s="46"/>
      <c r="F17" s="45">
        <v>3</v>
      </c>
      <c r="G17" s="45">
        <v>3</v>
      </c>
      <c r="H17" s="46"/>
      <c r="I17" s="46"/>
      <c r="J17" s="41" t="s">
        <v>177</v>
      </c>
      <c r="K17" s="40" t="s">
        <v>178</v>
      </c>
      <c r="L17" s="39">
        <f ca="1">COUNTIF(派生元項目KEY,A17)</f>
        <v>0</v>
      </c>
      <c r="M17" s="39">
        <f ca="1">COUNTIF(区分値項目KEY,A17)</f>
        <v>0</v>
      </c>
      <c r="N17"/>
      <c r="O17"/>
    </row>
    <row r="18" spans="1:15" ht="18" x14ac:dyDescent="0.55000000000000004">
      <c r="A18" s="40" t="s">
        <v>206</v>
      </c>
      <c r="B18" s="40" t="s">
        <v>226</v>
      </c>
      <c r="C18" s="38" t="str">
        <f t="shared" si="0"/>
        <v>customer_name</v>
      </c>
      <c r="D18" s="40" t="s">
        <v>137</v>
      </c>
      <c r="E18" s="44"/>
      <c r="F18" s="45"/>
      <c r="G18" s="45">
        <v>100</v>
      </c>
      <c r="H18" s="46"/>
      <c r="I18" s="46"/>
      <c r="J18" s="41" t="s">
        <v>179</v>
      </c>
      <c r="K18" s="40" t="s">
        <v>180</v>
      </c>
      <c r="L18" s="39">
        <f ca="1">COUNTIF(派生元項目KEY,A18)</f>
        <v>0</v>
      </c>
      <c r="M18" s="39">
        <f ca="1">COUNTIF(区分値項目KEY,A18)</f>
        <v>0</v>
      </c>
      <c r="N18"/>
      <c r="O18"/>
    </row>
    <row r="19" spans="1:15" ht="18" x14ac:dyDescent="0.55000000000000004">
      <c r="A19" s="40" t="s">
        <v>162</v>
      </c>
      <c r="B19" s="40" t="s">
        <v>171</v>
      </c>
      <c r="C19" s="38" t="str">
        <f t="shared" si="0"/>
        <v>is_working</v>
      </c>
      <c r="D19" s="40" t="s">
        <v>114</v>
      </c>
      <c r="E19" s="46"/>
      <c r="F19" s="46"/>
      <c r="G19" s="46"/>
      <c r="H19" s="46"/>
      <c r="I19" s="46"/>
      <c r="J19" s="41" t="s">
        <v>234</v>
      </c>
      <c r="K19" s="40" t="s">
        <v>181</v>
      </c>
      <c r="L19" s="39">
        <f ca="1">COUNTIF(派生元項目KEY,A19)</f>
        <v>0</v>
      </c>
      <c r="M19" s="39">
        <f ca="1">COUNTIF(区分値項目KEY,A19)</f>
        <v>0</v>
      </c>
      <c r="N19"/>
      <c r="O19"/>
    </row>
    <row r="20" spans="1:15" ht="18" x14ac:dyDescent="0.55000000000000004">
      <c r="A20" s="40" t="s">
        <v>165</v>
      </c>
      <c r="B20" s="40" t="s">
        <v>172</v>
      </c>
      <c r="C20" s="38" t="str">
        <f t="shared" si="0"/>
        <v>profit_rate</v>
      </c>
      <c r="D20" s="40" t="s">
        <v>90</v>
      </c>
      <c r="E20" s="46"/>
      <c r="F20" s="46"/>
      <c r="G20" s="46"/>
      <c r="H20" s="45"/>
      <c r="I20" s="45">
        <v>10</v>
      </c>
      <c r="J20" s="41" t="s">
        <v>231</v>
      </c>
      <c r="K20" s="40" t="s">
        <v>165</v>
      </c>
      <c r="L20" s="39">
        <f ca="1">COUNTIF(派生元項目KEY,A20)</f>
        <v>0</v>
      </c>
      <c r="M20" s="39">
        <f ca="1">COUNTIF(区分値項目KEY,A20)</f>
        <v>0</v>
      </c>
      <c r="N20"/>
      <c r="O20"/>
    </row>
    <row r="21" spans="1:15" ht="18" x14ac:dyDescent="0.55000000000000004">
      <c r="A21" s="40" t="s">
        <v>166</v>
      </c>
      <c r="B21" s="40" t="s">
        <v>173</v>
      </c>
      <c r="C21" s="38" t="str">
        <f t="shared" si="0"/>
        <v>exclude_report</v>
      </c>
      <c r="D21" s="40" t="s">
        <v>114</v>
      </c>
      <c r="E21" s="46"/>
      <c r="F21" s="46"/>
      <c r="G21" s="46"/>
      <c r="H21" s="46"/>
      <c r="I21" s="46"/>
      <c r="J21" s="41" t="s">
        <v>234</v>
      </c>
      <c r="K21" s="40" t="s">
        <v>182</v>
      </c>
      <c r="L21" s="39">
        <f ca="1">COUNTIF(派生元項目KEY,A21)</f>
        <v>0</v>
      </c>
      <c r="M21" s="39">
        <f ca="1">COUNTIF(区分値項目KEY,A21)</f>
        <v>0</v>
      </c>
      <c r="N21"/>
      <c r="O21"/>
    </row>
    <row r="22" spans="1:15" ht="18" x14ac:dyDescent="0.55000000000000004">
      <c r="A22" s="40" t="s">
        <v>187</v>
      </c>
      <c r="B22" s="40" t="s">
        <v>190</v>
      </c>
      <c r="C22" s="38" t="str">
        <f t="shared" si="0"/>
        <v>shipping_time</v>
      </c>
      <c r="D22" s="40" t="s">
        <v>188</v>
      </c>
      <c r="E22" s="44" t="s">
        <v>238</v>
      </c>
      <c r="F22" s="46"/>
      <c r="G22" s="46"/>
      <c r="H22" s="46"/>
      <c r="I22" s="46"/>
      <c r="J22" s="41" t="s">
        <v>235</v>
      </c>
      <c r="K22" s="40" t="s">
        <v>189</v>
      </c>
      <c r="L22" s="39">
        <f ca="1">COUNTIF(派生元項目KEY,A22)</f>
        <v>0</v>
      </c>
      <c r="M22" s="39">
        <f ca="1">COUNTIF(区分値項目KEY,A22)</f>
        <v>0</v>
      </c>
      <c r="N22"/>
      <c r="O22"/>
    </row>
    <row r="23" spans="1:15" ht="18" x14ac:dyDescent="0.55000000000000004">
      <c r="A23" s="40" t="s">
        <v>191</v>
      </c>
      <c r="B23" s="40" t="s">
        <v>194</v>
      </c>
      <c r="C23" s="38" t="str">
        <f t="shared" si="0"/>
        <v>is_active_customer</v>
      </c>
      <c r="D23" s="40" t="s">
        <v>114</v>
      </c>
      <c r="E23" s="46"/>
      <c r="F23" s="46"/>
      <c r="G23" s="46"/>
      <c r="H23" s="46"/>
      <c r="I23" s="46"/>
      <c r="J23" s="41" t="s">
        <v>234</v>
      </c>
      <c r="K23" s="40" t="s">
        <v>195</v>
      </c>
      <c r="L23" s="39">
        <f ca="1">COUNTIF(派生元項目KEY,A23)</f>
        <v>0</v>
      </c>
      <c r="M23" s="39">
        <f ca="1">COUNTIF(区分値項目KEY,A23)</f>
        <v>0</v>
      </c>
      <c r="N23"/>
      <c r="O23"/>
    </row>
    <row r="24" spans="1:15" ht="18" x14ac:dyDescent="0.55000000000000004">
      <c r="A24" s="40" t="s">
        <v>192</v>
      </c>
      <c r="B24" s="40" t="s">
        <v>221</v>
      </c>
      <c r="C24" s="38" t="str">
        <f t="shared" si="0"/>
        <v>customer_type</v>
      </c>
      <c r="D24" s="40" t="s">
        <v>209</v>
      </c>
      <c r="E24" s="46"/>
      <c r="F24" s="45"/>
      <c r="G24" s="45"/>
      <c r="H24" s="46"/>
      <c r="I24" s="46"/>
      <c r="J24" s="41" t="s">
        <v>196</v>
      </c>
      <c r="K24" s="40" t="s">
        <v>197</v>
      </c>
      <c r="L24" s="39">
        <f ca="1">COUNTIF(派生元項目KEY,A24)</f>
        <v>0</v>
      </c>
      <c r="M24" s="39">
        <f ca="1">COUNTIF(区分値項目KEY,A24)</f>
        <v>4</v>
      </c>
      <c r="N24"/>
      <c r="O24"/>
    </row>
    <row r="25" spans="1:15" ht="18" x14ac:dyDescent="0.55000000000000004">
      <c r="A25" s="40" t="s">
        <v>211</v>
      </c>
      <c r="B25" s="40" t="s">
        <v>214</v>
      </c>
      <c r="C25" s="38" t="str">
        <f t="shared" si="0"/>
        <v>approve_datetime</v>
      </c>
      <c r="D25" s="40" t="s">
        <v>216</v>
      </c>
      <c r="E25" s="46"/>
      <c r="F25" s="46"/>
      <c r="G25" s="46"/>
      <c r="H25" s="46"/>
      <c r="I25" s="46"/>
      <c r="J25" s="41" t="s">
        <v>217</v>
      </c>
      <c r="K25" s="40" t="s">
        <v>218</v>
      </c>
      <c r="L25" s="39">
        <f ca="1">COUNTIF(派生元項目KEY,A25)</f>
        <v>0</v>
      </c>
      <c r="M25" s="39">
        <f ca="1">COUNTIF(区分値項目KEY,A25)</f>
        <v>0</v>
      </c>
      <c r="N25"/>
      <c r="O25"/>
    </row>
    <row r="26" spans="1:15" ht="18" x14ac:dyDescent="0.55000000000000004">
      <c r="A26" s="40" t="s">
        <v>212</v>
      </c>
      <c r="B26" s="40" t="s">
        <v>215</v>
      </c>
      <c r="C26" s="38" t="str">
        <f t="shared" si="0"/>
        <v>emploee_no</v>
      </c>
      <c r="D26" s="40" t="s">
        <v>207</v>
      </c>
      <c r="E26" s="46"/>
      <c r="F26" s="45">
        <v>4</v>
      </c>
      <c r="G26" s="45">
        <v>4</v>
      </c>
      <c r="H26" s="46"/>
      <c r="I26" s="46"/>
      <c r="J26" s="41" t="s">
        <v>236</v>
      </c>
      <c r="K26" s="40" t="s">
        <v>212</v>
      </c>
      <c r="L26" s="39">
        <f ca="1">COUNTIF(派生元項目KEY,A26)</f>
        <v>0</v>
      </c>
      <c r="M26" s="39">
        <f ca="1">COUNTIF(区分値項目KEY,A26)</f>
        <v>0</v>
      </c>
      <c r="N26"/>
      <c r="O26"/>
    </row>
    <row r="27" spans="1:15" ht="18" x14ac:dyDescent="0.55000000000000004">
      <c r="A27" s="40" t="s">
        <v>220</v>
      </c>
      <c r="B27" s="40" t="s">
        <v>222</v>
      </c>
      <c r="C27" s="38" t="str">
        <f t="shared" si="0"/>
        <v>log_id</v>
      </c>
      <c r="D27" s="40" t="s">
        <v>219</v>
      </c>
      <c r="E27" s="46"/>
      <c r="F27" s="46"/>
      <c r="G27" s="46"/>
      <c r="H27" s="46"/>
      <c r="I27" s="46"/>
      <c r="J27" s="41" t="s">
        <v>223</v>
      </c>
      <c r="K27" s="40" t="s">
        <v>224</v>
      </c>
      <c r="L27" s="39">
        <f ca="1">COUNTIF(派生元項目KEY,A27)</f>
        <v>0</v>
      </c>
      <c r="M27" s="39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8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9">
        <f ca="1">COUNTIF(派生元項目KEY,A28)</f>
        <v>0</v>
      </c>
      <c r="M28" s="39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8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9">
        <f ca="1">COUNTIF(派生元項目KEY,A29)</f>
        <v>0</v>
      </c>
      <c r="M29" s="39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8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9">
        <f ca="1">COUNTIF(派生元項目KEY,A30)</f>
        <v>0</v>
      </c>
      <c r="M30" s="39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8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9">
        <f ca="1">COUNTIF(派生元項目KEY,A31)</f>
        <v>0</v>
      </c>
      <c r="M31" s="39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8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9">
        <f ca="1">COUNTIF(派生元項目KEY,A32)</f>
        <v>0</v>
      </c>
      <c r="M32" s="39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8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9">
        <f ca="1">COUNTIF(派生元項目KEY,A33)</f>
        <v>0</v>
      </c>
      <c r="M33" s="39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8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9">
        <f ca="1">COUNTIF(派生元項目KEY,A34)</f>
        <v>0</v>
      </c>
      <c r="M34" s="39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8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9">
        <f ca="1">COUNTIF(派生元項目KEY,A35)</f>
        <v>0</v>
      </c>
      <c r="M35" s="39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8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9">
        <f ca="1">COUNTIF(派生元項目KEY,A36)</f>
        <v>0</v>
      </c>
      <c r="M36" s="39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8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9">
        <f ca="1">COUNTIF(派生元項目KEY,A37)</f>
        <v>0</v>
      </c>
      <c r="M37" s="39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8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9">
        <f ca="1">COUNTIF(派生元項目KEY,A38)</f>
        <v>0</v>
      </c>
      <c r="M38" s="39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8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9">
        <f ca="1">COUNTIF(派生元項目KEY,A39)</f>
        <v>0</v>
      </c>
      <c r="M39" s="39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8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9">
        <f ca="1">COUNTIF(派生元項目KEY,A40)</f>
        <v>0</v>
      </c>
      <c r="M40" s="39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8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9">
        <f ca="1">COUNTIF(派生元項目KEY,A41)</f>
        <v>0</v>
      </c>
      <c r="M41" s="39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8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9">
        <f ca="1">COUNTIF(派生元項目KEY,A42)</f>
        <v>0</v>
      </c>
      <c r="M42" s="39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8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9">
        <f ca="1">COUNTIF(派生元項目KEY,A43)</f>
        <v>0</v>
      </c>
      <c r="M43" s="39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8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9">
        <f ca="1">COUNTIF(派生元項目KEY,A44)</f>
        <v>0</v>
      </c>
      <c r="M44" s="39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8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9">
        <f ca="1">COUNTIF(派生元項目KEY,A45)</f>
        <v>0</v>
      </c>
      <c r="M45" s="39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8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9">
        <f ca="1">COUNTIF(派生元項目KEY,A46)</f>
        <v>0</v>
      </c>
      <c r="M46" s="39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8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9">
        <f ca="1">COUNTIF(派生元項目KEY,A47)</f>
        <v>0</v>
      </c>
      <c r="M47" s="39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8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9">
        <f ca="1">COUNTIF(派生元項目KEY,A48)</f>
        <v>0</v>
      </c>
      <c r="M48" s="39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8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9">
        <f ca="1">COUNTIF(派生元項目KEY,A49)</f>
        <v>0</v>
      </c>
      <c r="M49" s="39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8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9">
        <f ca="1">COUNTIF(派生元項目KEY,A50)</f>
        <v>0</v>
      </c>
      <c r="M50" s="39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8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9">
        <f ca="1">COUNTIF(派生元項目KEY,A51)</f>
        <v>0</v>
      </c>
      <c r="M51" s="39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8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9">
        <f ca="1">COUNTIF(派生元項目KEY,A52)</f>
        <v>0</v>
      </c>
      <c r="M52" s="39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8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9">
        <f ca="1">COUNTIF(派生元項目KEY,A53)</f>
        <v>0</v>
      </c>
      <c r="M53" s="39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8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9">
        <f ca="1">COUNTIF(派生元項目KEY,A54)</f>
        <v>0</v>
      </c>
      <c r="M54" s="39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8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9">
        <f ca="1">COUNTIF(派生元項目KEY,A55)</f>
        <v>0</v>
      </c>
      <c r="M55" s="39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8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9">
        <f ca="1">COUNTIF(派生元項目KEY,A56)</f>
        <v>0</v>
      </c>
      <c r="M56" s="39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3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5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5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5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5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5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5"/>
      <c r="K2377"/>
      <c r="L2377"/>
      <c r="M2377"/>
      <c r="N2377"/>
      <c r="O2377"/>
    </row>
  </sheetData>
  <phoneticPr fontId="1"/>
  <conditionalFormatting sqref="D2:D57">
    <cfRule type="expression" dxfId="24" priority="1" stopIfTrue="1">
      <formula>AND(D2&lt;&gt;"",ISNA(MATCH(D2,ドメインタイプKEY,0)))</formula>
    </cfRule>
  </conditionalFormatting>
  <conditionalFormatting sqref="B2:B57 D2:D57 J2:K57">
    <cfRule type="expression" dxfId="23" priority="2" stopIfTrue="1">
      <formula>AND($A2&lt;&gt;"",B2="")</formula>
    </cfRule>
  </conditionalFormatting>
  <conditionalFormatting sqref="E22 F2:G2 F12:G12 G14 F15:G15 G16 F17:G17 G18 F26:G26">
    <cfRule type="containsBlanks" dxfId="22" priority="3" stopIfTrue="1">
      <formula>LEN(TRIM(E2))=0</formula>
    </cfRule>
  </conditionalFormatting>
  <dataValidations count="9">
    <dataValidation imeMode="on" allowBlank="1" showInputMessage="1" showErrorMessage="1" sqref="K2378:K1048576 A1 K1 A2378:A1048576" xr:uid="{82371562-DA48-418A-B9E1-F875CA10CC30}"/>
    <dataValidation imeMode="off" allowBlank="1" showInputMessage="1" showErrorMessage="1" sqref="E1:J1 B2378:B1048576 B1 E2378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42FEFB09-D188-43DB-BA40-D36F06B2DBB4}"/>
    <dataValidation imeMode="off" allowBlank="1" showInputMessage="1" showErrorMessage="1" sqref="B2:B57" xr:uid="{06919641-9EB6-4E6C-94F5-F96C55B2B5A5}"/>
    <dataValidation imeMode="off" allowBlank="1" showInputMessage="1" showErrorMessage="1" sqref="E22 E7 E14 E16 E18" xr:uid="{C1130760-8BC6-462A-A227-4C2E9779B73E}"/>
    <dataValidation type="whole" imeMode="off" allowBlank="1" showInputMessage="1" showErrorMessage="1" error="1-1000の間で入力可能" sqref="F2:G2 F12:G12 F26:G26 F6:G6 F7 F9:G9 F14:G18 F24:G24" xr:uid="{BE499AC6-C616-4387-93D9-EB7FB5C6D275}">
      <formula1>1</formula1>
      <formula2>1000</formula2>
    </dataValidation>
    <dataValidation type="whole" imeMode="off" allowBlank="1" showInputMessage="1" showErrorMessage="1" error="数値のみ入力可能" sqref="H3:I4 H11:I11 H20:I20" xr:uid="{681FAF14-04BA-479D-8D3C-F2A163E9FF8C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0499316E-E40B-4375-A34A-7AAE5DEB40F5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20"/>
  <sheetViews>
    <sheetView showGridLines="0" workbookViewId="0">
      <pane ySplit="1" topLeftCell="A2" activePane="bottomLeft" state="frozen"/>
      <selection activeCell="E5" sqref="E5"/>
      <selection pane="bottomLeft" activeCell="D2" sqref="D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7" t="s">
        <v>83</v>
      </c>
      <c r="B2" s="47" t="s">
        <v>92</v>
      </c>
      <c r="C2" s="47" t="s">
        <v>108</v>
      </c>
      <c r="D2" s="48" t="str">
        <f t="shared" ref="D2:D35" si="0">camel2snake(C2)</f>
        <v>campane_price</v>
      </c>
      <c r="E2" s="47" t="s">
        <v>93</v>
      </c>
    </row>
    <row r="3" spans="1:5" x14ac:dyDescent="0.55000000000000004">
      <c r="A3" s="47" t="s">
        <v>131</v>
      </c>
      <c r="B3" s="47" t="s">
        <v>141</v>
      </c>
      <c r="C3" s="47" t="s">
        <v>142</v>
      </c>
      <c r="D3" s="48" t="str">
        <f t="shared" si="0"/>
        <v>order_pic</v>
      </c>
      <c r="E3" s="47" t="s">
        <v>144</v>
      </c>
    </row>
    <row r="4" spans="1:5" x14ac:dyDescent="0.55000000000000004">
      <c r="A4" s="47" t="s">
        <v>131</v>
      </c>
      <c r="B4" s="47" t="s">
        <v>143</v>
      </c>
      <c r="C4" s="47" t="s">
        <v>184</v>
      </c>
      <c r="D4" s="48" t="str">
        <f t="shared" si="0"/>
        <v>product_pic</v>
      </c>
      <c r="E4" s="47" t="s">
        <v>145</v>
      </c>
    </row>
    <row r="5" spans="1:5" x14ac:dyDescent="0.55000000000000004">
      <c r="A5" s="47" t="s">
        <v>124</v>
      </c>
      <c r="B5" s="47" t="s">
        <v>185</v>
      </c>
      <c r="C5" s="47" t="s">
        <v>186</v>
      </c>
      <c r="D5" s="48" t="str">
        <f t="shared" si="0"/>
        <v>salese_department</v>
      </c>
      <c r="E5" s="47" t="s">
        <v>185</v>
      </c>
    </row>
    <row r="6" spans="1:5" x14ac:dyDescent="0.55000000000000004">
      <c r="A6" s="47"/>
      <c r="B6" s="47"/>
      <c r="C6" s="47"/>
      <c r="D6" s="48" t="str">
        <f t="shared" si="0"/>
        <v/>
      </c>
      <c r="E6" s="47"/>
    </row>
    <row r="7" spans="1:5" x14ac:dyDescent="0.55000000000000004">
      <c r="A7" s="47"/>
      <c r="B7" s="47"/>
      <c r="C7" s="47"/>
      <c r="D7" s="48" t="str">
        <f t="shared" si="0"/>
        <v/>
      </c>
      <c r="E7" s="47"/>
    </row>
    <row r="8" spans="1:5" x14ac:dyDescent="0.55000000000000004">
      <c r="A8" s="47"/>
      <c r="B8" s="47"/>
      <c r="C8" s="47"/>
      <c r="D8" s="48" t="str">
        <f t="shared" si="0"/>
        <v/>
      </c>
      <c r="E8" s="47"/>
    </row>
    <row r="9" spans="1:5" x14ac:dyDescent="0.55000000000000004">
      <c r="A9" s="47"/>
      <c r="B9" s="47"/>
      <c r="C9" s="47"/>
      <c r="D9" s="48" t="str">
        <f t="shared" si="0"/>
        <v/>
      </c>
      <c r="E9" s="47"/>
    </row>
    <row r="10" spans="1:5" x14ac:dyDescent="0.55000000000000004">
      <c r="A10" s="47"/>
      <c r="B10" s="47"/>
      <c r="C10" s="47"/>
      <c r="D10" s="48" t="str">
        <f t="shared" si="0"/>
        <v/>
      </c>
      <c r="E10" s="47"/>
    </row>
    <row r="11" spans="1:5" x14ac:dyDescent="0.55000000000000004">
      <c r="A11" s="47"/>
      <c r="B11" s="47"/>
      <c r="C11" s="47"/>
      <c r="D11" s="48" t="str">
        <f t="shared" si="0"/>
        <v/>
      </c>
      <c r="E11" s="47"/>
    </row>
    <row r="12" spans="1:5" x14ac:dyDescent="0.55000000000000004">
      <c r="A12" s="47"/>
      <c r="B12" s="47"/>
      <c r="C12" s="47"/>
      <c r="D12" s="48" t="str">
        <f t="shared" si="0"/>
        <v/>
      </c>
      <c r="E12" s="47"/>
    </row>
    <row r="13" spans="1:5" x14ac:dyDescent="0.55000000000000004">
      <c r="A13" s="47"/>
      <c r="B13" s="47"/>
      <c r="C13" s="47"/>
      <c r="D13" s="48" t="str">
        <f t="shared" si="0"/>
        <v/>
      </c>
      <c r="E13" s="47"/>
    </row>
    <row r="14" spans="1:5" x14ac:dyDescent="0.55000000000000004">
      <c r="A14" s="47"/>
      <c r="B14" s="47"/>
      <c r="C14" s="47"/>
      <c r="D14" s="48" t="str">
        <f t="shared" si="0"/>
        <v/>
      </c>
      <c r="E14" s="47"/>
    </row>
    <row r="15" spans="1:5" x14ac:dyDescent="0.55000000000000004">
      <c r="A15" s="47"/>
      <c r="B15" s="47"/>
      <c r="C15" s="47"/>
      <c r="D15" s="48" t="str">
        <f t="shared" si="0"/>
        <v/>
      </c>
      <c r="E15" s="47"/>
    </row>
    <row r="16" spans="1:5" x14ac:dyDescent="0.55000000000000004">
      <c r="A16" s="47"/>
      <c r="B16" s="47"/>
      <c r="C16" s="47"/>
      <c r="D16" s="48" t="str">
        <f t="shared" si="0"/>
        <v/>
      </c>
      <c r="E16" s="47"/>
    </row>
    <row r="17" spans="1:5" x14ac:dyDescent="0.55000000000000004">
      <c r="A17" s="47"/>
      <c r="B17" s="47"/>
      <c r="C17" s="47"/>
      <c r="D17" s="48" t="str">
        <f t="shared" si="0"/>
        <v/>
      </c>
      <c r="E17" s="47"/>
    </row>
    <row r="18" spans="1:5" x14ac:dyDescent="0.55000000000000004">
      <c r="A18" s="47"/>
      <c r="B18" s="47"/>
      <c r="C18" s="47"/>
      <c r="D18" s="48" t="str">
        <f t="shared" si="0"/>
        <v/>
      </c>
      <c r="E18" s="47"/>
    </row>
    <row r="19" spans="1:5" x14ac:dyDescent="0.55000000000000004">
      <c r="A19" s="47"/>
      <c r="B19" s="47"/>
      <c r="C19" s="47"/>
      <c r="D19" s="48" t="str">
        <f t="shared" si="0"/>
        <v/>
      </c>
      <c r="E19" s="47"/>
    </row>
    <row r="20" spans="1:5" x14ac:dyDescent="0.55000000000000004">
      <c r="A20" s="47"/>
      <c r="B20" s="47"/>
      <c r="C20" s="47"/>
      <c r="D20" s="48" t="str">
        <f t="shared" si="0"/>
        <v/>
      </c>
      <c r="E20" s="47"/>
    </row>
    <row r="21" spans="1:5" x14ac:dyDescent="0.55000000000000004">
      <c r="A21" s="47"/>
      <c r="B21" s="47"/>
      <c r="C21" s="47"/>
      <c r="D21" s="48" t="str">
        <f t="shared" si="0"/>
        <v/>
      </c>
      <c r="E21" s="47"/>
    </row>
    <row r="22" spans="1:5" x14ac:dyDescent="0.55000000000000004">
      <c r="A22" s="47"/>
      <c r="B22" s="47"/>
      <c r="C22" s="47"/>
      <c r="D22" s="48" t="str">
        <f t="shared" si="0"/>
        <v/>
      </c>
      <c r="E22" s="47"/>
    </row>
    <row r="23" spans="1:5" x14ac:dyDescent="0.55000000000000004">
      <c r="A23" s="47"/>
      <c r="B23" s="47"/>
      <c r="C23" s="47"/>
      <c r="D23" s="48" t="str">
        <f t="shared" si="0"/>
        <v/>
      </c>
      <c r="E23" s="47"/>
    </row>
    <row r="24" spans="1:5" x14ac:dyDescent="0.55000000000000004">
      <c r="A24" s="47"/>
      <c r="B24" s="47"/>
      <c r="C24" s="47"/>
      <c r="D24" s="48" t="str">
        <f t="shared" si="0"/>
        <v/>
      </c>
      <c r="E24" s="47"/>
    </row>
    <row r="25" spans="1:5" x14ac:dyDescent="0.55000000000000004">
      <c r="A25" s="47"/>
      <c r="B25" s="47"/>
      <c r="C25" s="47"/>
      <c r="D25" s="48" t="str">
        <f t="shared" si="0"/>
        <v/>
      </c>
      <c r="E25" s="47"/>
    </row>
    <row r="26" spans="1:5" x14ac:dyDescent="0.55000000000000004">
      <c r="A26" s="47"/>
      <c r="B26" s="47"/>
      <c r="C26" s="47"/>
      <c r="D26" s="48" t="str">
        <f t="shared" si="0"/>
        <v/>
      </c>
      <c r="E26" s="47"/>
    </row>
    <row r="27" spans="1:5" x14ac:dyDescent="0.55000000000000004">
      <c r="A27" s="47"/>
      <c r="B27" s="47"/>
      <c r="C27" s="47"/>
      <c r="D27" s="48" t="str">
        <f t="shared" si="0"/>
        <v/>
      </c>
      <c r="E27" s="47"/>
    </row>
    <row r="28" spans="1:5" x14ac:dyDescent="0.55000000000000004">
      <c r="A28" s="47"/>
      <c r="B28" s="47"/>
      <c r="C28" s="47"/>
      <c r="D28" s="48" t="str">
        <f t="shared" si="0"/>
        <v/>
      </c>
      <c r="E28" s="47"/>
    </row>
    <row r="29" spans="1:5" x14ac:dyDescent="0.55000000000000004">
      <c r="A29" s="47"/>
      <c r="B29" s="47"/>
      <c r="C29" s="47"/>
      <c r="D29" s="48" t="str">
        <f t="shared" si="0"/>
        <v/>
      </c>
      <c r="E29" s="47"/>
    </row>
    <row r="30" spans="1:5" x14ac:dyDescent="0.55000000000000004">
      <c r="A30" s="47"/>
      <c r="B30" s="47"/>
      <c r="C30" s="47"/>
      <c r="D30" s="48" t="str">
        <f t="shared" si="0"/>
        <v/>
      </c>
      <c r="E30" s="47"/>
    </row>
    <row r="31" spans="1:5" x14ac:dyDescent="0.55000000000000004">
      <c r="A31" s="47"/>
      <c r="B31" s="47"/>
      <c r="C31" s="47"/>
      <c r="D31" s="48" t="str">
        <f t="shared" si="0"/>
        <v/>
      </c>
      <c r="E31" s="47"/>
    </row>
    <row r="32" spans="1:5" x14ac:dyDescent="0.55000000000000004">
      <c r="A32" s="47"/>
      <c r="B32" s="47"/>
      <c r="C32" s="47"/>
      <c r="D32" s="48" t="str">
        <f t="shared" si="0"/>
        <v/>
      </c>
      <c r="E32" s="47"/>
    </row>
    <row r="33" spans="1:5" x14ac:dyDescent="0.55000000000000004">
      <c r="A33" s="47"/>
      <c r="B33" s="47"/>
      <c r="C33" s="47"/>
      <c r="D33" s="48" t="str">
        <f t="shared" si="0"/>
        <v/>
      </c>
      <c r="E33" s="47"/>
    </row>
    <row r="34" spans="1:5" x14ac:dyDescent="0.55000000000000004">
      <c r="A34" s="47"/>
      <c r="B34" s="47"/>
      <c r="C34" s="47"/>
      <c r="D34" s="48" t="str">
        <f t="shared" si="0"/>
        <v/>
      </c>
      <c r="E34" s="47"/>
    </row>
    <row r="35" spans="1:5" x14ac:dyDescent="0.55000000000000004">
      <c r="A35" s="42"/>
      <c r="B35" s="42"/>
      <c r="C35" s="42"/>
      <c r="D35" s="33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</sheetData>
  <phoneticPr fontId="1"/>
  <conditionalFormatting sqref="A2:A35">
    <cfRule type="expression" dxfId="21" priority="1" stopIfTrue="1">
      <formula>AND(A2&lt;&gt;"",ISNA(MATCH(A2,項目リスト,0)))</formula>
    </cfRule>
    <cfRule type="expression" dxfId="20" priority="3" stopIfTrue="1">
      <formula>AND(A2&lt;&gt;"",ISNA(MATCH(A2,項目リスト,0)))</formula>
    </cfRule>
    <cfRule type="expression" dxfId="19" priority="5" stopIfTrue="1">
      <formula>AND(A2&lt;&gt;"",ISNA(MATCH(A2,項目リスト,0)))</formula>
    </cfRule>
    <cfRule type="expression" dxfId="18" priority="7" stopIfTrue="1">
      <formula>AND(A2&lt;&gt;"",ISNA(MATCH(A2,項目リスト,0)))</formula>
    </cfRule>
    <cfRule type="expression" dxfId="17" priority="9" stopIfTrue="1">
      <formula>AND(A2&lt;&gt;"",ISNA(MATCH(A2,項目リスト,0)))</formula>
    </cfRule>
  </conditionalFormatting>
  <conditionalFormatting sqref="E2:E35 B2:C35">
    <cfRule type="expression" dxfId="16" priority="2" stopIfTrue="1">
      <formula>AND($A2&lt;&gt;"",B2="")</formula>
    </cfRule>
    <cfRule type="expression" dxfId="15" priority="4" stopIfTrue="1">
      <formula>AND($A2&lt;&gt;"",B2="")</formula>
    </cfRule>
    <cfRule type="expression" dxfId="14" priority="6" stopIfTrue="1">
      <formula>AND($A2&lt;&gt;"",B2="")</formula>
    </cfRule>
    <cfRule type="expression" dxfId="13" priority="8" stopIfTrue="1">
      <formula>AND($A2&lt;&gt;"",B2="")</formula>
    </cfRule>
    <cfRule type="expression" dxfId="12" priority="10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89347E6B-2E09-4C2A-A17C-62E46C4D6471}"/>
    <dataValidation imeMode="off" allowBlank="1" showInputMessage="1" showErrorMessage="1" sqref="C2:C35" xr:uid="{02232635-773A-4D37-AD85-5EEF43AAA797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49"/>
  <sheetViews>
    <sheetView showGridLines="0" tabSelected="1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7" t="s">
        <v>94</v>
      </c>
      <c r="B2" s="47" t="s">
        <v>119</v>
      </c>
      <c r="C2" s="47" t="s">
        <v>98</v>
      </c>
      <c r="D2" s="47" t="s">
        <v>99</v>
      </c>
    </row>
    <row r="3" spans="1:4" x14ac:dyDescent="0.55000000000000004">
      <c r="A3" s="47" t="s">
        <v>94</v>
      </c>
      <c r="B3" s="47" t="s">
        <v>123</v>
      </c>
      <c r="C3" s="47" t="s">
        <v>97</v>
      </c>
      <c r="D3" s="47" t="s">
        <v>100</v>
      </c>
    </row>
    <row r="4" spans="1:4" x14ac:dyDescent="0.55000000000000004">
      <c r="A4" s="47" t="s">
        <v>94</v>
      </c>
      <c r="B4" s="47" t="s">
        <v>120</v>
      </c>
      <c r="C4" s="47" t="s">
        <v>101</v>
      </c>
      <c r="D4" s="47" t="s">
        <v>104</v>
      </c>
    </row>
    <row r="5" spans="1:4" x14ac:dyDescent="0.55000000000000004">
      <c r="A5" s="47" t="s">
        <v>94</v>
      </c>
      <c r="B5" s="47" t="s">
        <v>121</v>
      </c>
      <c r="C5" s="47" t="s">
        <v>102</v>
      </c>
      <c r="D5" s="47" t="s">
        <v>103</v>
      </c>
    </row>
    <row r="6" spans="1:4" x14ac:dyDescent="0.55000000000000004">
      <c r="A6" s="47" t="s">
        <v>124</v>
      </c>
      <c r="B6" s="47" t="s">
        <v>146</v>
      </c>
      <c r="C6" s="47" t="s">
        <v>147</v>
      </c>
      <c r="D6" s="47" t="s">
        <v>148</v>
      </c>
    </row>
    <row r="7" spans="1:4" x14ac:dyDescent="0.55000000000000004">
      <c r="A7" s="47" t="s">
        <v>124</v>
      </c>
      <c r="B7" s="47" t="s">
        <v>149</v>
      </c>
      <c r="C7" s="47" t="s">
        <v>150</v>
      </c>
      <c r="D7" s="47" t="s">
        <v>151</v>
      </c>
    </row>
    <row r="8" spans="1:4" x14ac:dyDescent="0.55000000000000004">
      <c r="A8" s="47" t="s">
        <v>124</v>
      </c>
      <c r="B8" s="47" t="s">
        <v>152</v>
      </c>
      <c r="C8" s="47" t="s">
        <v>153</v>
      </c>
      <c r="D8" s="47" t="s">
        <v>154</v>
      </c>
    </row>
    <row r="9" spans="1:4" x14ac:dyDescent="0.55000000000000004">
      <c r="A9" s="47" t="s">
        <v>124</v>
      </c>
      <c r="B9" s="47" t="s">
        <v>155</v>
      </c>
      <c r="C9" s="47" t="s">
        <v>156</v>
      </c>
      <c r="D9" s="47" t="s">
        <v>157</v>
      </c>
    </row>
    <row r="10" spans="1:4" x14ac:dyDescent="0.55000000000000004">
      <c r="A10" s="47" t="s">
        <v>124</v>
      </c>
      <c r="B10" s="47" t="s">
        <v>158</v>
      </c>
      <c r="C10" s="47" t="s">
        <v>159</v>
      </c>
      <c r="D10" s="47" t="s">
        <v>160</v>
      </c>
    </row>
    <row r="11" spans="1:4" x14ac:dyDescent="0.55000000000000004">
      <c r="A11" s="47" t="s">
        <v>192</v>
      </c>
      <c r="B11" s="47" t="s">
        <v>198</v>
      </c>
      <c r="C11" s="47" t="s">
        <v>199</v>
      </c>
      <c r="D11" s="47" t="s">
        <v>199</v>
      </c>
    </row>
    <row r="12" spans="1:4" x14ac:dyDescent="0.55000000000000004">
      <c r="A12" s="47" t="s">
        <v>192</v>
      </c>
      <c r="B12" s="47" t="s">
        <v>196</v>
      </c>
      <c r="C12" s="47" t="s">
        <v>97</v>
      </c>
      <c r="D12" s="47" t="s">
        <v>200</v>
      </c>
    </row>
    <row r="13" spans="1:4" x14ac:dyDescent="0.55000000000000004">
      <c r="A13" s="47" t="s">
        <v>192</v>
      </c>
      <c r="B13" s="47" t="s">
        <v>201</v>
      </c>
      <c r="C13" s="47" t="s">
        <v>202</v>
      </c>
      <c r="D13" s="47" t="s">
        <v>202</v>
      </c>
    </row>
    <row r="14" spans="1:4" x14ac:dyDescent="0.55000000000000004">
      <c r="A14" s="47" t="s">
        <v>192</v>
      </c>
      <c r="B14" s="47" t="s">
        <v>203</v>
      </c>
      <c r="C14" s="47" t="s">
        <v>204</v>
      </c>
      <c r="D14" s="47" t="s">
        <v>204</v>
      </c>
    </row>
    <row r="15" spans="1:4" x14ac:dyDescent="0.55000000000000004">
      <c r="A15" s="47"/>
      <c r="B15" s="47"/>
      <c r="C15" s="47"/>
      <c r="D15" s="47"/>
    </row>
    <row r="16" spans="1:4" x14ac:dyDescent="0.55000000000000004">
      <c r="A16" s="47"/>
      <c r="B16" s="47"/>
      <c r="C16" s="47"/>
      <c r="D16" s="47"/>
    </row>
    <row r="17" spans="1:4" x14ac:dyDescent="0.55000000000000004">
      <c r="A17" s="47"/>
      <c r="B17" s="47"/>
      <c r="C17" s="47"/>
      <c r="D17" s="47"/>
    </row>
    <row r="18" spans="1:4" x14ac:dyDescent="0.55000000000000004">
      <c r="A18" s="47"/>
      <c r="B18" s="47"/>
      <c r="C18" s="47"/>
      <c r="D18" s="47"/>
    </row>
    <row r="19" spans="1:4" x14ac:dyDescent="0.55000000000000004">
      <c r="A19" s="47"/>
      <c r="B19" s="47"/>
      <c r="C19" s="47"/>
      <c r="D19" s="47"/>
    </row>
    <row r="20" spans="1:4" x14ac:dyDescent="0.55000000000000004">
      <c r="A20" s="47"/>
      <c r="B20" s="47"/>
      <c r="C20" s="47"/>
      <c r="D20" s="47"/>
    </row>
    <row r="21" spans="1:4" x14ac:dyDescent="0.55000000000000004">
      <c r="A21" s="47"/>
      <c r="B21" s="47"/>
      <c r="C21" s="47"/>
      <c r="D21" s="47"/>
    </row>
    <row r="22" spans="1:4" x14ac:dyDescent="0.55000000000000004">
      <c r="A22" s="47"/>
      <c r="B22" s="47"/>
      <c r="C22" s="47"/>
      <c r="D22" s="47"/>
    </row>
    <row r="23" spans="1:4" x14ac:dyDescent="0.55000000000000004">
      <c r="A23" s="47"/>
      <c r="B23" s="47"/>
      <c r="C23" s="47"/>
      <c r="D23" s="47"/>
    </row>
    <row r="24" spans="1:4" x14ac:dyDescent="0.55000000000000004">
      <c r="A24" s="47"/>
      <c r="B24" s="47"/>
      <c r="C24" s="47"/>
      <c r="D24" s="47"/>
    </row>
    <row r="25" spans="1:4" x14ac:dyDescent="0.55000000000000004">
      <c r="A25" s="47"/>
      <c r="B25" s="47"/>
      <c r="C25" s="47"/>
      <c r="D25" s="47"/>
    </row>
    <row r="26" spans="1:4" x14ac:dyDescent="0.55000000000000004">
      <c r="A26" s="47"/>
      <c r="B26" s="47"/>
      <c r="C26" s="47"/>
      <c r="D26" s="47"/>
    </row>
    <row r="27" spans="1:4" x14ac:dyDescent="0.55000000000000004">
      <c r="A27" s="47"/>
      <c r="B27" s="47"/>
      <c r="C27" s="47"/>
      <c r="D27" s="47"/>
    </row>
    <row r="28" spans="1:4" x14ac:dyDescent="0.55000000000000004">
      <c r="A28" s="47"/>
      <c r="B28" s="47"/>
      <c r="C28" s="47"/>
      <c r="D28" s="47"/>
    </row>
    <row r="29" spans="1:4" x14ac:dyDescent="0.55000000000000004">
      <c r="A29" s="47"/>
      <c r="B29" s="47"/>
      <c r="C29" s="47"/>
      <c r="D29" s="47"/>
    </row>
    <row r="30" spans="1:4" x14ac:dyDescent="0.55000000000000004">
      <c r="A30" s="47"/>
      <c r="B30" s="47"/>
      <c r="C30" s="47"/>
      <c r="D30" s="47"/>
    </row>
    <row r="31" spans="1:4" x14ac:dyDescent="0.55000000000000004">
      <c r="A31" s="47"/>
      <c r="B31" s="47"/>
      <c r="C31" s="47"/>
      <c r="D31" s="47"/>
    </row>
    <row r="32" spans="1:4" x14ac:dyDescent="0.55000000000000004">
      <c r="A32" s="47"/>
      <c r="B32" s="47"/>
      <c r="C32" s="47"/>
      <c r="D32" s="47"/>
    </row>
    <row r="33" spans="1:4" x14ac:dyDescent="0.55000000000000004">
      <c r="A33" s="47"/>
      <c r="B33" s="47"/>
      <c r="C33" s="47"/>
      <c r="D33" s="47"/>
    </row>
    <row r="34" spans="1:4" x14ac:dyDescent="0.55000000000000004">
      <c r="A34" s="47"/>
      <c r="B34" s="47"/>
      <c r="C34" s="47"/>
      <c r="D34" s="47"/>
    </row>
    <row r="35" spans="1:4" x14ac:dyDescent="0.55000000000000004">
      <c r="A35" s="47"/>
      <c r="B35" s="47"/>
      <c r="C35" s="47"/>
      <c r="D35" s="47"/>
    </row>
    <row r="36" spans="1:4" x14ac:dyDescent="0.55000000000000004">
      <c r="A36" s="47"/>
      <c r="B36" s="47"/>
      <c r="C36" s="47"/>
      <c r="D36" s="47"/>
    </row>
    <row r="37" spans="1:4" x14ac:dyDescent="0.55000000000000004">
      <c r="A37" s="47"/>
      <c r="B37" s="47"/>
      <c r="C37" s="47"/>
      <c r="D37" s="47"/>
    </row>
    <row r="38" spans="1:4" x14ac:dyDescent="0.55000000000000004">
      <c r="A38" s="47"/>
      <c r="B38" s="47"/>
      <c r="C38" s="47"/>
      <c r="D38" s="47"/>
    </row>
    <row r="39" spans="1:4" x14ac:dyDescent="0.55000000000000004">
      <c r="A39" s="47"/>
      <c r="B39" s="47"/>
      <c r="C39" s="47"/>
      <c r="D39" s="47"/>
    </row>
    <row r="40" spans="1:4" x14ac:dyDescent="0.55000000000000004">
      <c r="A40" s="47"/>
      <c r="B40" s="47"/>
      <c r="C40" s="47"/>
      <c r="D40" s="47"/>
    </row>
    <row r="41" spans="1:4" x14ac:dyDescent="0.55000000000000004">
      <c r="A41" s="47"/>
      <c r="B41" s="47"/>
      <c r="C41" s="47"/>
      <c r="D41" s="47"/>
    </row>
    <row r="42" spans="1:4" x14ac:dyDescent="0.55000000000000004">
      <c r="A42" s="47"/>
      <c r="B42" s="47"/>
      <c r="C42" s="47"/>
      <c r="D42" s="47"/>
    </row>
    <row r="43" spans="1:4" x14ac:dyDescent="0.55000000000000004">
      <c r="A43" s="47"/>
      <c r="B43" s="47"/>
      <c r="C43" s="47"/>
      <c r="D43" s="47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</sheetData>
  <phoneticPr fontId="1"/>
  <conditionalFormatting sqref="A2:A44">
    <cfRule type="expression" dxfId="11" priority="1" stopIfTrue="1">
      <formula>AND(A2&lt;&gt;"",ISNA(MATCH(A2,区分値リスト,0)))</formula>
    </cfRule>
    <cfRule type="expression" dxfId="10" priority="3" stopIfTrue="1">
      <formula>AND(A2&lt;&gt;"",ISNA(MATCH(A2,区分値リスト,0)))</formula>
    </cfRule>
    <cfRule type="expression" dxfId="9" priority="5" stopIfTrue="1">
      <formula>AND(A2&lt;&gt;"",ISNA(MATCH(A2,区分値リスト,0)))</formula>
    </cfRule>
    <cfRule type="expression" dxfId="8" priority="7" stopIfTrue="1">
      <formula>AND(A2&lt;&gt;"",ISNA(MATCH(A2,区分値リスト,0)))</formula>
    </cfRule>
    <cfRule type="expression" dxfId="7" priority="9" stopIfTrue="1">
      <formula>AND(A2&lt;&gt;"",ISNA(MATCH(A2,区分値リスト,0)))</formula>
    </cfRule>
    <cfRule type="expression" dxfId="6" priority="11" stopIfTrue="1">
      <formula>AND(A2&lt;&gt;"",ISNA(MATCH(A2,区分値リスト,0)))</formula>
    </cfRule>
  </conditionalFormatting>
  <conditionalFormatting sqref="B2:D44">
    <cfRule type="expression" dxfId="5" priority="2" stopIfTrue="1">
      <formula>AND($A2&lt;&gt;"",B2="")</formula>
    </cfRule>
    <cfRule type="expression" dxfId="4" priority="4" stopIfTrue="1">
      <formula>AND($A2&lt;&gt;"",B2="")</formula>
    </cfRule>
    <cfRule type="expression" dxfId="3" priority="6" stopIfTrue="1">
      <formula>AND($A2&lt;&gt;"",B2="")</formula>
    </cfRule>
    <cfRule type="expression" dxfId="2" priority="8" stopIfTrue="1">
      <formula>AND($A2&lt;&gt;"",B2="")</formula>
    </cfRule>
    <cfRule type="expression" dxfId="1" priority="10" stopIfTrue="1">
      <formula>AND($A2&lt;&gt;"",B2="")</formula>
    </cfRule>
    <cfRule type="expression" dxfId="0" priority="1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8032E68C-C091-46B6-9428-A757C5068C51}"/>
    <dataValidation imeMode="off" allowBlank="1" showInputMessage="1" showErrorMessage="1" sqref="B2:B44" xr:uid="{55D9A0F3-8E61-4538-9454-D2104E0B1488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27" priority="1" operator="equal">
      <formula>0</formula>
    </cfRule>
    <cfRule type="cellIs" dxfId="26" priority="2" operator="lessThan">
      <formula>0</formula>
    </cfRule>
    <cfRule type="cellIs" dxfId="25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2024-02-12T09:15:59Z</dcterms:modified>
</cp:coreProperties>
</file>