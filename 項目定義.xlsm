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4126AC89-AB4D-43C6-9BB3-66D34F0CC614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21" i="5"/>
  <c r="D11" i="5"/>
  <c r="D19" i="5"/>
  <c r="D27" i="5"/>
  <c r="D35" i="5"/>
  <c r="D13" i="5"/>
  <c r="D12" i="5"/>
  <c r="D20" i="5"/>
  <c r="D28" i="5"/>
  <c r="D29" i="5"/>
  <c r="D2" i="5"/>
  <c r="D3" i="5"/>
  <c r="D4" i="5"/>
  <c r="D5" i="5"/>
  <c r="C5" i="3"/>
  <c r="C13" i="3"/>
  <c r="C21" i="3"/>
  <c r="C6" i="3"/>
  <c r="C14" i="3"/>
  <c r="C22" i="3"/>
  <c r="C7" i="3"/>
  <c r="C15" i="3"/>
  <c r="C23" i="3"/>
  <c r="C8" i="3"/>
  <c r="C16" i="3"/>
  <c r="C24" i="3"/>
  <c r="C9" i="3"/>
  <c r="C17" i="3"/>
  <c r="C2" i="3"/>
  <c r="C10" i="3"/>
  <c r="C18" i="3"/>
  <c r="C3" i="3"/>
  <c r="C11" i="3"/>
  <c r="C19" i="3"/>
  <c r="C4" i="3"/>
  <c r="C12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<sst xmlns="http://schemas.openxmlformats.org/spreadsheetml/2006/main" count="360" uniqueCount="225">
  <si>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</si>
  <si>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</si>
  <si>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</si>
  <si>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</si>
  <si>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</si>
  <si>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</si>
  <si>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</si>
  <si>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</si>
  <si>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</si>
  <si>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</si>
  <si>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</si>
  <si>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</si>
  <si>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</si>
  <si>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</si>
  <si>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</si>
  <si>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</si>
  <si>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</si>
  <si>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</si>
  <si>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</si>
  <si>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</si>
  <si>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</si>
  <si>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</si>
  <si>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</si>
  <si>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</si>
  <si>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</si>
  <si>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</si>
  <si>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</si>
  <si>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</si>
  <si>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</si>
  <si>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</si>
  <si>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</si>
  <si>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</si>
  <si>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</si>
  <si>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</si>
  <si>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</si>
  <si>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</si>
  <si>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</si>
  <si>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</si>
  <si>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</si>
  <si>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</si>
  <si>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</si>
  <si>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</si>
  <si>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</si>
  <si>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</si>
  <si>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</si>
  <si>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</si>
  <si>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</si>
  <si>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</si>
  <si>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</si>
  <si>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</si>
  <si>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</si>
  <si>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</si>
  <si>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</si>
  <si>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</si>
  <si>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</si>
  <si>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</si>
  <si>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</si>
  <si>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</si>
  <si>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</si>
  <si>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</si>
  <si>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</si>
  <si>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</si>
  <si>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</si>
  <si>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</si>
  <si>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</si>
  <si>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</si>
  <si>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</si>
  <si>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</si>
  <si>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</si>
  <si>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</si>
  <si>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</si>
  <si>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</si>
  <si>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</si>
  <si>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</si>
  <si>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</si>
  <si>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</si>
  <si>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</si>
  <si>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</si>
  <si>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</si>
  <si>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</si>
  <si>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</si>
  <si>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</si>
  <si>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</si>
  <si>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</si>
  <si>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</si>
  <si>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</si>
  <si>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</si>
  <si>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</si>
  <si>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</si>
  <si>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</si>
  <si>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</si>
  <si>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</si>
  <si>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</si>
  <si>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</si>
  <si>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</si>
  <si>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</si>
  <si>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</si>
  <si>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</si>
  <si>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</si>
  <si>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</si>
  <si>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</si>
  <si>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</si>
  <si>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</si>
  <si>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</si>
  <si>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</si>
  <si>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</si>
  <si>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</si>
  <si>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</si>
  <si>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</si>
  <si>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</si>
  <si>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</si>
  <si>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</si>
  <si>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</si>
  <si>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</si>
  <si>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</si>
  <si>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</si>
  <si>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</si>
  <si>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</si>
  <si>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</si>
  <si>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</si>
  <si>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</si>
  <si>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</si>
  <si>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</si>
  <si>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</si>
  <si>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</si>
  <si>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</si>
  <si>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</si>
  <si>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</si>
  <si>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</si>
  <si>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</si>
  <si>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</si>
  <si>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</si>
  <si>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</si>
  <si>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</si>
  <si>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</si>
  <si>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</si>
  <si>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</si>
  <si>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</si>
  <si>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</si>
  <si>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</si>
  <si>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</si>
  <si>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</si>
  <si>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</si>
  <si>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</si>
  <si>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</si>
  <si>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</si>
  <si>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</si>
  <si>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</si>
  <si>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</si>
  <si>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</si>
  <si>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</si>
  <si>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</si>
  <si>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</si>
  <si>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</si>
  <si>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</si>
  <si>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</si>
  <si>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</si>
  <si>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</si>
  <si>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</si>
  <si>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</si>
  <si>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</si>
  <si>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</si>
  <si>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</si>
  <si>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</si>
  <si>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</si>
  <si>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</si>
  <si>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</si>
  <si>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</si>
  <si>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</si>
  <si>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</si>
  <si>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</si>
  <si>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</si>
  <si>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</si>
  <si>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</si>
  <si>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</si>
  <si>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</si>
  <si>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</si>
  <si>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</si>
  <si>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</si>
  <si>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</si>
  <si>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</si>
  <si>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</si>
  <si>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</si>
  <si>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</si>
  <si>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</si>
  <si>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</si>
  <si>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</si>
  <si>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</si>
  <si>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</si>
  <si>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</si>
  <si>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</si>
  <si>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</si>
  <si>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</si>
  <si>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</si>
  <si>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</si>
  <si>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</si>
  <si>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</si>
  <si>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</si>
  <si>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</si>
  <si>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</si>
  <si>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</si>
  <si>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</si>
  <si>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</si>
  <si>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</si>
  <si>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</si>
  <si>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</si>
  <si>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</si>
  <si>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</si>
  <si>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</si>
  <si>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</si>
  <si>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</si>
  <si>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</si>
  <si>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</si>
  <si>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</si>
  <si>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</si>
  <si>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</si>
  <si>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</si>
  <si>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</si>
  <si>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</si>
  <si>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</si>
  <si>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</si>
  <si>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</si>
  <si>
    <t>NOKEY</t>
  </si>
  <si>
    <t>NOKEY</t>
    <phoneticPr fontId="1"/>
  </si>
  <si>
    <t>A032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</si>
</sst>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8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  <border>
      <left style="thin">
        <color theme="0"/>
      </left>
      <right/>
      <top style="thin">
        <color theme="4"/>
      </top>
      <bottom style="thin">
        <color rgb="FFBDD7EE"/>
      </bottom>
      <diagonal/>
    </border>
    <border>
      <left/>
      <right style="thin">
        <color theme="0"/>
      </right>
      <top style="thin">
        <color theme="4"/>
      </top>
      <bottom style="thin">
        <color rgb="FFBDD7EE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>
      <alignment vertical="center"/>
    </xf>
    <xf numFmtId="179" fontId="2" fillId="5" borderId="15" xfId="0" applyNumberFormat="1" applyFont="1" applyFill="1" applyBorder="1">
      <alignment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</cellXfs>
  <cellStyles count="1">
    <cellStyle name="標準" xfId="0" builtinId="0"/>
  </cellStyles>
  <dxfs count="7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683"/>
  <sheetViews>
    <sheetView showGridLines="0" tabSelected="1" workbookViewId="0">
      <pane ySplit="1" topLeftCell="A6" activePane="bottomLeft" state="frozen"/>
      <selection activeCell="E5" sqref="E5"/>
      <selection pane="bottomLeft" activeCell="E24" sqref="E24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54" t="s">
        <v>4</v>
      </c>
      <c r="I1" s="55"/>
      <c r="J1" s="38" t="s">
        <v>5</v>
      </c>
      <c r="K1" s="39"/>
      <c r="L1" s="19" t="s">
        <v>72</v>
      </c>
      <c r="M1" s="20" t="s">
        <v>6</v>
      </c>
      <c r="N1" s="19" t="s">
        <v>61</v>
      </c>
      <c r="O1" s="19" t="s">
        <v>61</v>
      </c>
      <c r="P1" s="21" t="s">
        <v>122</v>
      </c>
      <c r="Q1" s="22" t="s">
        <v>73</v>
      </c>
    </row>
    <row r="2" spans="1:17" ht="15" x14ac:dyDescent="0.55000000000000004">
      <c r="A2" s="40" t="s">
        <v>171</v>
      </c>
      <c r="B2" s="40" t="s">
        <v>175</v>
      </c>
      <c r="C2" s="26" t="str">
        <f t="shared" ref="C2:C33" si="0">camel2snake(B2)</f>
        <v>product_no</v>
      </c>
      <c r="D2" s="40" t="s">
        <v>222</v>
      </c>
      <c r="E2" s="33"/>
      <c r="F2" s="46">
        <v>9</v>
      </c>
      <c r="G2" s="46">
        <v>10</v>
      </c>
      <c r="H2" s="33"/>
      <c r="I2" s="34"/>
      <c r="J2" s="33"/>
      <c r="K2" s="34"/>
      <c r="L2" s="44" t="s">
        <v>88</v>
      </c>
      <c r="M2" s="40" t="s">
        <v>110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0" t="s">
        <v>84</v>
      </c>
      <c r="B3" s="40" t="s">
        <v>86</v>
      </c>
      <c r="C3" s="26" t="str">
        <f t="shared" si="0"/>
        <v>price</v>
      </c>
      <c r="D3" s="40" t="s">
        <v>89</v>
      </c>
      <c r="E3" s="33"/>
      <c r="F3" s="33"/>
      <c r="G3" s="33"/>
      <c r="H3" s="46">
        <v>0</v>
      </c>
      <c r="I3" s="42">
        <v>0</v>
      </c>
      <c r="J3" s="46">
        <v>99999</v>
      </c>
      <c r="K3" s="42">
        <v>0</v>
      </c>
      <c r="L3" s="44" t="s">
        <v>92</v>
      </c>
      <c r="M3" s="40" t="s">
        <v>111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0" t="s">
        <v>85</v>
      </c>
      <c r="B4" s="40" t="s">
        <v>87</v>
      </c>
      <c r="C4" s="26" t="str">
        <f t="shared" si="0"/>
        <v>up</v>
      </c>
      <c r="D4" s="40" t="s">
        <v>91</v>
      </c>
      <c r="E4" s="33"/>
      <c r="F4" s="33"/>
      <c r="G4" s="33"/>
      <c r="H4" s="46">
        <v>0</v>
      </c>
      <c r="I4" s="42">
        <v>0</v>
      </c>
      <c r="J4" s="46">
        <v>1000</v>
      </c>
      <c r="K4" s="42">
        <v>0</v>
      </c>
      <c r="L4" s="44" t="s">
        <v>93</v>
      </c>
      <c r="M4" s="40" t="s">
        <v>112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0" t="s">
        <v>94</v>
      </c>
      <c r="B5" s="40" t="s">
        <v>206</v>
      </c>
      <c r="C5" s="26" t="str">
        <f t="shared" si="0"/>
        <v>registration_date</v>
      </c>
      <c r="D5" s="40" t="s">
        <v>90</v>
      </c>
      <c r="E5" s="33"/>
      <c r="F5" s="33"/>
      <c r="G5" s="33"/>
      <c r="H5" s="33"/>
      <c r="I5" s="34">
        <v>0</v>
      </c>
      <c r="J5" s="33"/>
      <c r="K5" s="34">
        <v>0</v>
      </c>
      <c r="L5" s="44" t="s">
        <v>95</v>
      </c>
      <c r="M5" s="40" t="s">
        <v>94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0" t="s">
        <v>98</v>
      </c>
      <c r="B6" s="40" t="s">
        <v>99</v>
      </c>
      <c r="C6" s="26" t="str">
        <f t="shared" si="0"/>
        <v>product_kbn</v>
      </c>
      <c r="D6" s="40" t="s">
        <v>109</v>
      </c>
      <c r="E6" s="33"/>
      <c r="F6" s="46"/>
      <c r="G6" s="40"/>
      <c r="H6" s="33"/>
      <c r="I6" s="34">
        <v>0</v>
      </c>
      <c r="J6" s="33"/>
      <c r="K6" s="34">
        <v>0</v>
      </c>
      <c r="L6" s="44" t="s">
        <v>129</v>
      </c>
      <c r="M6" s="40" t="s">
        <v>100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0" t="s">
        <v>114</v>
      </c>
      <c r="B7" s="40" t="s">
        <v>116</v>
      </c>
      <c r="C7" s="26" t="str">
        <f t="shared" si="0"/>
        <v>comment</v>
      </c>
      <c r="D7" s="40" t="s">
        <v>115</v>
      </c>
      <c r="E7" s="44"/>
      <c r="F7" s="46">
        <v>10</v>
      </c>
      <c r="G7" s="33"/>
      <c r="H7" s="33"/>
      <c r="I7" s="34">
        <v>0</v>
      </c>
      <c r="J7" s="33"/>
      <c r="K7" s="34">
        <v>0</v>
      </c>
      <c r="L7" s="44" t="s">
        <v>117</v>
      </c>
      <c r="M7" s="40" t="s">
        <v>114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0" t="s">
        <v>118</v>
      </c>
      <c r="B8" s="40" t="s">
        <v>124</v>
      </c>
      <c r="C8" s="26" t="str">
        <f t="shared" si="0"/>
        <v>can_update</v>
      </c>
      <c r="D8" s="40" t="s">
        <v>119</v>
      </c>
      <c r="E8" s="33"/>
      <c r="F8" s="33"/>
      <c r="G8" s="33"/>
      <c r="H8" s="33"/>
      <c r="I8" s="34">
        <v>0</v>
      </c>
      <c r="J8" s="33"/>
      <c r="K8" s="34">
        <v>0</v>
      </c>
      <c r="L8" s="44" t="s">
        <v>120</v>
      </c>
      <c r="M8" s="40" t="s">
        <v>121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0" t="s">
        <v>130</v>
      </c>
      <c r="B9" s="40" t="s">
        <v>195</v>
      </c>
      <c r="C9" s="26" t="str">
        <f t="shared" si="0"/>
        <v>department</v>
      </c>
      <c r="D9" s="40" t="s">
        <v>109</v>
      </c>
      <c r="E9" s="33"/>
      <c r="F9" s="46"/>
      <c r="G9" s="40"/>
      <c r="H9" s="33"/>
      <c r="I9" s="34">
        <v>0</v>
      </c>
      <c r="J9" s="33"/>
      <c r="K9" s="34">
        <v>0</v>
      </c>
      <c r="L9" s="44" t="s">
        <v>157</v>
      </c>
      <c r="M9" s="40" t="s">
        <v>130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0" t="s">
        <v>131</v>
      </c>
      <c r="B10" s="40" t="s">
        <v>138</v>
      </c>
      <c r="C10" s="26" t="str">
        <f t="shared" si="0"/>
        <v>order_date</v>
      </c>
      <c r="D10" s="40" t="s">
        <v>90</v>
      </c>
      <c r="E10" s="33"/>
      <c r="F10" s="33"/>
      <c r="G10" s="33"/>
      <c r="H10" s="33"/>
      <c r="I10" s="34">
        <v>0</v>
      </c>
      <c r="J10" s="33"/>
      <c r="K10" s="34">
        <v>0</v>
      </c>
      <c r="L10" s="44" t="s">
        <v>95</v>
      </c>
      <c r="M10" s="40" t="s">
        <v>131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0" t="s">
        <v>132</v>
      </c>
      <c r="B11" s="40" t="s">
        <v>139</v>
      </c>
      <c r="C11" s="26" t="str">
        <f t="shared" si="0"/>
        <v>quantity</v>
      </c>
      <c r="D11" s="40" t="s">
        <v>89</v>
      </c>
      <c r="E11" s="33"/>
      <c r="F11" s="33"/>
      <c r="G11" s="33"/>
      <c r="H11" s="46">
        <v>0</v>
      </c>
      <c r="I11" s="42">
        <v>0</v>
      </c>
      <c r="J11" s="46">
        <v>99999</v>
      </c>
      <c r="K11" s="42">
        <v>0</v>
      </c>
      <c r="L11" s="44" t="s">
        <v>142</v>
      </c>
      <c r="M11" s="40" t="s">
        <v>132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0" t="s">
        <v>172</v>
      </c>
      <c r="B12" s="40" t="s">
        <v>176</v>
      </c>
      <c r="C12" s="26" t="str">
        <f t="shared" si="0"/>
        <v>received_order_no</v>
      </c>
      <c r="D12" s="40" t="s">
        <v>222</v>
      </c>
      <c r="E12" s="33"/>
      <c r="F12" s="46">
        <v>10</v>
      </c>
      <c r="G12" s="46">
        <v>10</v>
      </c>
      <c r="H12" s="33"/>
      <c r="I12" s="34"/>
      <c r="J12" s="33"/>
      <c r="K12" s="34"/>
      <c r="L12" s="44" t="s">
        <v>143</v>
      </c>
      <c r="M12" s="40" t="s">
        <v>133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0" t="s">
        <v>134</v>
      </c>
      <c r="B13" s="40" t="s">
        <v>140</v>
      </c>
      <c r="C13" s="26" t="str">
        <f t="shared" si="0"/>
        <v>order_detail_no</v>
      </c>
      <c r="D13" s="40" t="s">
        <v>135</v>
      </c>
      <c r="E13" s="33"/>
      <c r="F13" s="33"/>
      <c r="G13" s="33"/>
      <c r="H13" s="33"/>
      <c r="I13" s="34">
        <v>0</v>
      </c>
      <c r="J13" s="33"/>
      <c r="K13" s="34">
        <v>0</v>
      </c>
      <c r="L13" s="44" t="s">
        <v>144</v>
      </c>
      <c r="M13" s="40" t="s">
        <v>184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0" t="s">
        <v>136</v>
      </c>
      <c r="B14" s="40" t="s">
        <v>177</v>
      </c>
      <c r="C14" s="26" t="str">
        <f t="shared" si="0"/>
        <v>person_in_charge</v>
      </c>
      <c r="D14" s="40" t="s">
        <v>145</v>
      </c>
      <c r="E14" s="44"/>
      <c r="F14" s="46"/>
      <c r="G14" s="46">
        <v>30</v>
      </c>
      <c r="H14" s="33"/>
      <c r="I14" s="34">
        <v>0</v>
      </c>
      <c r="J14" s="33"/>
      <c r="K14" s="34">
        <v>0</v>
      </c>
      <c r="L14" s="44" t="s">
        <v>146</v>
      </c>
      <c r="M14" s="40" t="s">
        <v>147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0" t="s">
        <v>137</v>
      </c>
      <c r="B15" s="40" t="s">
        <v>141</v>
      </c>
      <c r="C15" s="26" t="str">
        <f t="shared" si="0"/>
        <v>user_id</v>
      </c>
      <c r="D15" s="40" t="s">
        <v>222</v>
      </c>
      <c r="E15" s="33"/>
      <c r="F15" s="46">
        <v>4</v>
      </c>
      <c r="G15" s="46">
        <v>4</v>
      </c>
      <c r="H15" s="33"/>
      <c r="I15" s="34"/>
      <c r="J15" s="33"/>
      <c r="K15" s="34"/>
      <c r="L15" s="44" t="s">
        <v>224</v>
      </c>
      <c r="M15" s="40" t="s">
        <v>148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0" t="s">
        <v>219</v>
      </c>
      <c r="B16" s="40" t="s">
        <v>178</v>
      </c>
      <c r="C16" s="26" t="str">
        <f t="shared" si="0"/>
        <v>product_name</v>
      </c>
      <c r="D16" s="40" t="s">
        <v>145</v>
      </c>
      <c r="E16" s="44"/>
      <c r="F16" s="46"/>
      <c r="G16" s="46">
        <v>100</v>
      </c>
      <c r="H16" s="33"/>
      <c r="I16" s="34">
        <v>0</v>
      </c>
      <c r="J16" s="33"/>
      <c r="K16" s="34">
        <v>0</v>
      </c>
      <c r="L16" s="44" t="s">
        <v>185</v>
      </c>
      <c r="M16" s="40" t="s">
        <v>186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0" t="s">
        <v>169</v>
      </c>
      <c r="B17" s="40" t="s">
        <v>179</v>
      </c>
      <c r="C17" s="26" t="str">
        <f t="shared" si="0"/>
        <v>customer_id</v>
      </c>
      <c r="D17" s="40" t="s">
        <v>222</v>
      </c>
      <c r="E17" s="33"/>
      <c r="F17" s="46">
        <v>3</v>
      </c>
      <c r="G17" s="46">
        <v>3</v>
      </c>
      <c r="H17" s="33"/>
      <c r="I17" s="34"/>
      <c r="J17" s="33"/>
      <c r="K17" s="34"/>
      <c r="L17" s="44" t="s">
        <v>187</v>
      </c>
      <c r="M17" s="40" t="s">
        <v>188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0" t="s">
        <v>220</v>
      </c>
      <c r="B18" s="40" t="s">
        <v>180</v>
      </c>
      <c r="C18" s="26" t="str">
        <f t="shared" si="0"/>
        <v>customer_name</v>
      </c>
      <c r="D18" s="40" t="s">
        <v>145</v>
      </c>
      <c r="E18" s="44"/>
      <c r="F18" s="46"/>
      <c r="G18" s="46">
        <v>100</v>
      </c>
      <c r="H18" s="33"/>
      <c r="I18" s="34">
        <v>0</v>
      </c>
      <c r="J18" s="33"/>
      <c r="K18" s="34">
        <v>0</v>
      </c>
      <c r="L18" s="44" t="s">
        <v>189</v>
      </c>
      <c r="M18" s="40" t="s">
        <v>190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0" t="s">
        <v>170</v>
      </c>
      <c r="B19" s="40" t="s">
        <v>181</v>
      </c>
      <c r="C19" s="26" t="str">
        <f t="shared" si="0"/>
        <v>is_working</v>
      </c>
      <c r="D19" s="40" t="s">
        <v>119</v>
      </c>
      <c r="E19" s="33"/>
      <c r="F19" s="33"/>
      <c r="G19" s="33"/>
      <c r="H19" s="33"/>
      <c r="I19" s="34">
        <v>0</v>
      </c>
      <c r="J19" s="33"/>
      <c r="K19" s="34">
        <v>0</v>
      </c>
      <c r="L19" s="44" t="s">
        <v>191</v>
      </c>
      <c r="M19" s="40" t="s">
        <v>192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0" t="s">
        <v>173</v>
      </c>
      <c r="B20" s="40" t="s">
        <v>182</v>
      </c>
      <c r="C20" s="26" t="str">
        <f t="shared" si="0"/>
        <v>profit_rate</v>
      </c>
      <c r="D20" s="40" t="s">
        <v>91</v>
      </c>
      <c r="E20" s="33"/>
      <c r="F20" s="33"/>
      <c r="G20" s="33"/>
      <c r="H20" s="46">
        <v>-10</v>
      </c>
      <c r="I20" s="42">
        <v>0</v>
      </c>
      <c r="J20" s="46">
        <v>10</v>
      </c>
      <c r="K20" s="42">
        <v>0</v>
      </c>
      <c r="L20" s="44" t="s">
        <v>193</v>
      </c>
      <c r="M20" s="40" t="s">
        <v>173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0" t="s">
        <v>174</v>
      </c>
      <c r="B21" s="40" t="s">
        <v>183</v>
      </c>
      <c r="C21" s="26" t="str">
        <f t="shared" si="0"/>
        <v>exclude_report</v>
      </c>
      <c r="D21" s="40" t="s">
        <v>119</v>
      </c>
      <c r="E21" s="33"/>
      <c r="F21" s="33"/>
      <c r="G21" s="33"/>
      <c r="H21" s="33"/>
      <c r="I21" s="34">
        <v>0</v>
      </c>
      <c r="J21" s="33"/>
      <c r="K21" s="34">
        <v>0</v>
      </c>
      <c r="L21" s="44" t="s">
        <v>191</v>
      </c>
      <c r="M21" s="40" t="s">
        <v>194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0" t="s">
        <v>199</v>
      </c>
      <c r="B22" s="40" t="s">
        <v>203</v>
      </c>
      <c r="C22" s="26" t="str">
        <f t="shared" si="0"/>
        <v>shipping_time</v>
      </c>
      <c r="D22" s="40" t="s">
        <v>200</v>
      </c>
      <c r="E22" s="44" t="s">
        <v>221</v>
      </c>
      <c r="F22" s="33"/>
      <c r="G22" s="33"/>
      <c r="H22" s="33"/>
      <c r="I22" s="34">
        <v>0</v>
      </c>
      <c r="J22" s="33"/>
      <c r="K22" s="34">
        <v>0</v>
      </c>
      <c r="L22" s="44" t="s">
        <v>201</v>
      </c>
      <c r="M22" s="40" t="s">
        <v>202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0" t="s">
        <v>204</v>
      </c>
      <c r="B23" s="40" t="s">
        <v>207</v>
      </c>
      <c r="C23" s="26" t="str">
        <f t="shared" si="0"/>
        <v>is_active_customer</v>
      </c>
      <c r="D23" s="40" t="s">
        <v>119</v>
      </c>
      <c r="E23" s="33"/>
      <c r="F23" s="33"/>
      <c r="G23" s="33"/>
      <c r="H23" s="33"/>
      <c r="I23" s="34">
        <v>0</v>
      </c>
      <c r="J23" s="33"/>
      <c r="K23" s="34">
        <v>0</v>
      </c>
      <c r="L23" s="44" t="s">
        <v>191</v>
      </c>
      <c r="M23" s="40" t="s">
        <v>209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47" t="s">
        <v>205</v>
      </c>
      <c r="B24" s="47" t="s">
        <v>208</v>
      </c>
      <c r="C24" s="48" t="str">
        <f t="shared" si="0"/>
        <v>customer_type</v>
      </c>
      <c r="D24" s="47" t="s">
        <v>9</v>
      </c>
      <c r="E24" s="49"/>
      <c r="F24" s="50"/>
      <c r="G24" s="47"/>
      <c r="H24" s="49"/>
      <c r="I24" s="51"/>
      <c r="J24" s="49"/>
      <c r="K24" s="51"/>
      <c r="L24" s="52" t="s">
        <v>210</v>
      </c>
      <c r="M24" s="47" t="s">
        <v>211</v>
      </c>
      <c r="N24" s="48" t="str">
        <f>IFERROR(VLOOKUP(D24,ドメインタイプDATA,6,FALSE)&amp;"","")</f>
        <v>string</v>
      </c>
      <c r="O24" s="48" t="str">
        <f>IFERROR(VLOOKUP(D24,ドメインタイプDATA,7,FALSE)&amp;"","")</f>
        <v/>
      </c>
      <c r="P24" s="53">
        <f ca="1">COUNTIF(派生元項目KEY,A24)</f>
        <v>0</v>
      </c>
      <c r="Q24" s="53">
        <f ca="1">COUNTIF(区分値項目KEY,A24)</f>
        <v>4</v>
      </c>
    </row>
    <row r="25" spans="1:17" ht="15" x14ac:dyDescent="0.55000000000000004">
      <c r="A25" s="40"/>
      <c r="B25" s="40"/>
      <c r="C25" s="26" t="str">
        <f t="shared" ref="C25:C54" si="1">camel2snake(B25)</f>
        <v/>
      </c>
      <c r="D25" s="40"/>
      <c r="E25" s="40"/>
      <c r="F25" s="40"/>
      <c r="G25" s="40"/>
      <c r="H25" s="40"/>
      <c r="I25" s="42"/>
      <c r="J25" s="40"/>
      <c r="K25" s="42"/>
      <c r="L25" s="44"/>
      <c r="M25" s="40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0"/>
      <c r="B26" s="40"/>
      <c r="C26" s="26" t="str">
        <f t="shared" si="1"/>
        <v/>
      </c>
      <c r="D26" s="40"/>
      <c r="E26" s="40"/>
      <c r="F26" s="40"/>
      <c r="G26" s="40"/>
      <c r="H26" s="40"/>
      <c r="I26" s="42"/>
      <c r="J26" s="40"/>
      <c r="K26" s="42"/>
      <c r="L26" s="44"/>
      <c r="M26" s="40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0"/>
      <c r="B27" s="40"/>
      <c r="C27" s="26" t="str">
        <f t="shared" si="1"/>
        <v/>
      </c>
      <c r="D27" s="40"/>
      <c r="E27" s="40"/>
      <c r="F27" s="40"/>
      <c r="G27" s="40"/>
      <c r="H27" s="40"/>
      <c r="I27" s="42"/>
      <c r="J27" s="40"/>
      <c r="K27" s="42"/>
      <c r="L27" s="44"/>
      <c r="M27" s="40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0"/>
      <c r="B28" s="40"/>
      <c r="C28" s="26" t="str">
        <f t="shared" si="1"/>
        <v/>
      </c>
      <c r="D28" s="40"/>
      <c r="E28" s="40"/>
      <c r="F28" s="40"/>
      <c r="G28" s="40"/>
      <c r="H28" s="40"/>
      <c r="I28" s="42"/>
      <c r="J28" s="40"/>
      <c r="K28" s="42"/>
      <c r="L28" s="44"/>
      <c r="M28" s="40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0"/>
      <c r="B29" s="40"/>
      <c r="C29" s="26" t="str">
        <f t="shared" si="1"/>
        <v/>
      </c>
      <c r="D29" s="40"/>
      <c r="E29" s="40"/>
      <c r="F29" s="40"/>
      <c r="G29" s="40"/>
      <c r="H29" s="40"/>
      <c r="I29" s="42"/>
      <c r="J29" s="40"/>
      <c r="K29" s="42"/>
      <c r="L29" s="44"/>
      <c r="M29" s="40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0"/>
      <c r="B30" s="40"/>
      <c r="C30" s="26" t="str">
        <f t="shared" si="1"/>
        <v/>
      </c>
      <c r="D30" s="40"/>
      <c r="E30" s="40"/>
      <c r="F30" s="40"/>
      <c r="G30" s="40"/>
      <c r="H30" s="40"/>
      <c r="I30" s="42"/>
      <c r="J30" s="40"/>
      <c r="K30" s="42"/>
      <c r="L30" s="44"/>
      <c r="M30" s="40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0"/>
      <c r="B31" s="40"/>
      <c r="C31" s="26" t="str">
        <f t="shared" si="1"/>
        <v/>
      </c>
      <c r="D31" s="40"/>
      <c r="E31" s="40"/>
      <c r="F31" s="40"/>
      <c r="G31" s="40"/>
      <c r="H31" s="40"/>
      <c r="I31" s="42"/>
      <c r="J31" s="40"/>
      <c r="K31" s="42"/>
      <c r="L31" s="44"/>
      <c r="M31" s="40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0"/>
      <c r="B32" s="40"/>
      <c r="C32" s="26" t="str">
        <f t="shared" si="1"/>
        <v/>
      </c>
      <c r="D32" s="40"/>
      <c r="E32" s="40"/>
      <c r="F32" s="40"/>
      <c r="G32" s="40"/>
      <c r="H32" s="40"/>
      <c r="I32" s="42"/>
      <c r="J32" s="40"/>
      <c r="K32" s="42"/>
      <c r="L32" s="44"/>
      <c r="M32" s="40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0"/>
      <c r="B33" s="40"/>
      <c r="C33" s="26" t="str">
        <f t="shared" si="1"/>
        <v/>
      </c>
      <c r="D33" s="40"/>
      <c r="E33" s="40"/>
      <c r="F33" s="40"/>
      <c r="G33" s="40"/>
      <c r="H33" s="40"/>
      <c r="I33" s="42"/>
      <c r="J33" s="40"/>
      <c r="K33" s="42"/>
      <c r="L33" s="44"/>
      <c r="M33" s="40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0"/>
      <c r="B34" s="40"/>
      <c r="C34" s="26" t="str">
        <f t="shared" si="1"/>
        <v/>
      </c>
      <c r="D34" s="40"/>
      <c r="E34" s="40"/>
      <c r="F34" s="40"/>
      <c r="G34" s="40"/>
      <c r="H34" s="40"/>
      <c r="I34" s="42"/>
      <c r="J34" s="40"/>
      <c r="K34" s="42"/>
      <c r="L34" s="44"/>
      <c r="M34" s="40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2"/>
      <c r="J35" s="40"/>
      <c r="K35" s="42"/>
      <c r="L35" s="44"/>
      <c r="M35" s="40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2"/>
      <c r="J36" s="40"/>
      <c r="K36" s="42"/>
      <c r="L36" s="44"/>
      <c r="M36" s="40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2"/>
      <c r="J37" s="40"/>
      <c r="K37" s="42"/>
      <c r="L37" s="44"/>
      <c r="M37" s="40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2"/>
      <c r="J38" s="40"/>
      <c r="K38" s="42"/>
      <c r="L38" s="44"/>
      <c r="M38" s="40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2"/>
      <c r="J39" s="40"/>
      <c r="K39" s="42"/>
      <c r="L39" s="44"/>
      <c r="M39" s="40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2"/>
      <c r="J40" s="40"/>
      <c r="K40" s="42"/>
      <c r="L40" s="44"/>
      <c r="M40" s="40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2"/>
      <c r="J41" s="40"/>
      <c r="K41" s="42"/>
      <c r="L41" s="44"/>
      <c r="M41" s="40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2"/>
      <c r="J42" s="40"/>
      <c r="K42" s="42"/>
      <c r="L42" s="44"/>
      <c r="M42" s="40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2"/>
      <c r="J43" s="40"/>
      <c r="K43" s="42"/>
      <c r="L43" s="44"/>
      <c r="M43" s="40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2"/>
      <c r="J44" s="40"/>
      <c r="K44" s="42"/>
      <c r="L44" s="44"/>
      <c r="M44" s="40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2"/>
      <c r="J45" s="40"/>
      <c r="K45" s="42"/>
      <c r="L45" s="44"/>
      <c r="M45" s="40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2"/>
      <c r="J46" s="40"/>
      <c r="K46" s="42"/>
      <c r="L46" s="44"/>
      <c r="M46" s="40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2"/>
      <c r="J47" s="40"/>
      <c r="K47" s="42"/>
      <c r="L47" s="44"/>
      <c r="M47" s="40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2"/>
      <c r="J48" s="40"/>
      <c r="K48" s="42"/>
      <c r="L48" s="44"/>
      <c r="M48" s="40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2"/>
      <c r="J49" s="40"/>
      <c r="K49" s="42"/>
      <c r="L49" s="44"/>
      <c r="M49" s="40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2"/>
      <c r="J50" s="40"/>
      <c r="K50" s="42"/>
      <c r="L50" s="44"/>
      <c r="M50" s="40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2"/>
      <c r="J51" s="40"/>
      <c r="K51" s="42"/>
      <c r="L51" s="44"/>
      <c r="M51" s="40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2"/>
      <c r="J52" s="40"/>
      <c r="K52" s="42"/>
      <c r="L52" s="44"/>
      <c r="M52" s="40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2"/>
      <c r="J53" s="40"/>
      <c r="K53" s="42"/>
      <c r="L53" s="44"/>
      <c r="M53" s="40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1"/>
      <c r="B54" s="41"/>
      <c r="C54" s="27" t="str">
        <f t="shared" si="1"/>
        <v/>
      </c>
      <c r="D54" s="41"/>
      <c r="E54" s="41"/>
      <c r="F54" s="41"/>
      <c r="G54" s="41"/>
      <c r="H54" s="41"/>
      <c r="I54" s="43"/>
      <c r="J54" s="41"/>
      <c r="K54" s="43"/>
      <c r="L54" s="45"/>
      <c r="M54" s="41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</sheetData>
  <mergeCells count="2">
    <mergeCell ref="H1:I1"/>
    <mergeCell ref="J1:K1"/>
  </mergeCells>
  <phoneticPr fontId="1"/>
  <conditionalFormatting sqref="B2:B24 D2:D24 L2:M24">
    <cfRule type="expression" dxfId="66" priority="1" stopIfTrue="1">
      <formula>AND($A2&lt;&gt;"",B2="")</formula>
    </cfRule>
  </conditionalFormatting>
  <conditionalFormatting sqref="E22">
    <cfRule type="containsBlanks" dxfId="65" priority="2" stopIfTrue="1">
      <formula>LEN(TRIM(E22))=0</formula>
    </cfRule>
  </conditionalFormatting>
  <conditionalFormatting sqref="F2:G2 F12:G12 G14 F15:G15 G16 F17:G17 G18">
    <cfRule type="containsBlanks" dxfId="64" priority="3" stopIfTrue="1">
      <formula>LEN(TRIM(F2))=0</formula>
    </cfRule>
  </conditionalFormatting>
  <conditionalFormatting sqref="H3:H4 J3:J4 H11 J11 H20 J20">
    <cfRule type="containsBlanks" dxfId="63" priority="4" stopIfTrue="1">
      <formula>LEN(TRIM(H3))=0</formula>
    </cfRule>
  </conditionalFormatting>
  <conditionalFormatting sqref="F2:G2">
    <cfRule type="containsBlanks" dxfId="39" priority="6" stopIfTrue="1">
      <formula>LEN(TRIM(F2))=0</formula>
    </cfRule>
  </conditionalFormatting>
  <conditionalFormatting sqref="F12:G12">
    <cfRule type="containsBlanks" dxfId="38" priority="7" stopIfTrue="1">
      <formula>LEN(TRIM(F12))=0</formula>
    </cfRule>
  </conditionalFormatting>
  <conditionalFormatting sqref="F15:G15">
    <cfRule type="containsBlanks" dxfId="37" priority="8" stopIfTrue="1">
      <formula>LEN(TRIM(F15))=0</formula>
    </cfRule>
  </conditionalFormatting>
  <conditionalFormatting sqref="F17:G17">
    <cfRule type="containsBlanks" dxfId="27" priority="10" stopIfTrue="1">
      <formula>LEN(TRIM(F17))=0</formula>
    </cfRule>
  </conditionalFormatting>
  <conditionalFormatting sqref="B25:B54 D25:D54 L25:M54">
    <cfRule type="expression" dxfId="0" priority="11" stopIfTrue="1">
      <formula>AND($A25&lt;&gt;"",B25="")</formula>
    </cfRule>
  </conditionalFormatting>
  <dataValidations count="24">
    <dataValidation imeMode="on" allowBlank="1" showInputMessage="1" showErrorMessage="1" sqref="A1684:A1048576 A1 M1 M1684:M1048576" xr:uid="{82371562-DA48-418A-B9E1-F875CA10CC30}"/>
    <dataValidation imeMode="off" allowBlank="1" showInputMessage="1" showErrorMessage="1" sqref="E1:H1 L1 J1 B1684:B1048576 B1 E1684:L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A770782C-B6D0-4F3A-9154-DF2760138F61}"/>
    <dataValidation imeMode="off" allowBlank="1" showInputMessage="1" showErrorMessage="1" sqref="B2:B24" xr:uid="{64C8E25B-283F-43A0-927E-2F2486C70554}"/>
    <dataValidation imeMode="off" allowBlank="1" showInputMessage="1" showErrorMessage="1" sqref="E22" xr:uid="{C8CBCB3C-6914-4741-9329-FA4A092D7E2D}"/>
    <dataValidation imeMode="off" allowBlank="1" showInputMessage="1" showErrorMessage="1" sqref="E7 E14 E16 E18" xr:uid="{873CF26A-B816-4A2D-80E4-2B5D97AA4039}"/>
    <dataValidation type="whole" imeMode="off" allowBlank="1" showInputMessage="1" showErrorMessage="1" error="0-1000の間で入力可能" sqref="G18 G16 G14" xr:uid="{1F201E6C-7165-49F8-91E4-70096491727D}">
      <formula1>0</formula1>
      <formula2>1000</formula2>
    </dataValidation>
    <dataValidation type="whole" imeMode="off" allowBlank="1" showInputMessage="1" showErrorMessage="1" error="0-1000の間で入力可能" sqref="F6:F7 F9 F14 F16 F18" xr:uid="{B769B1BC-66F0-496D-B94C-78923656EB15}">
      <formula1>0</formula1>
      <formula2>1000</formula2>
    </dataValidation>
    <dataValidation type="whole" imeMode="off" allowBlank="1" showInputMessage="1" showErrorMessage="1" error="数値のみ入力可能" sqref="H3:H4 J3:J4 H11 J11 H20 J20" xr:uid="{210E2B80-2A01-45B1-8061-EEA300370120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A4E45B89-C7A4-42DB-A09B-B67038EBF226}">
      <formula1>"1"</formula1>
    </dataValidation>
    <dataValidation type="textLength" imeMode="off" operator="equal" allowBlank="1" showInputMessage="1" showErrorMessage="1" error="入力不可項目です" sqref="E3:E6 F3:G5 H16:K16 H5:K6 G7:K7 E8:K8 H9:K9 F10:K10 F11:G11 E13 H18:K18 F13:K13 E9:E11 H14:K14 E23:K23 E19:K19 E20:G21 H21:K21 F22:K22" xr:uid="{172E24EB-1E65-4551-840D-39033F77F56B}">
      <formula1>0</formula1>
    </dataValidation>
    <dataValidation type="whole" imeMode="off" allowBlank="1" showInputMessage="1" showErrorMessage="1" error="0-1000の間で入力可能" sqref="F2:G2" xr:uid="{DED5220E-A562-41D1-8D48-1DF92FB3A50D}">
      <formula1>0</formula1>
      <formula2>1000</formula2>
    </dataValidation>
    <dataValidation type="textLength" imeMode="off" operator="equal" allowBlank="1" showInputMessage="1" showErrorMessage="1" error="入力不可項目です" sqref="E2 H2:K2" xr:uid="{4700F54D-D6A1-487C-A5C9-8271BB32ACD7}">
      <formula1>0</formula1>
    </dataValidation>
    <dataValidation type="whole" imeMode="off" allowBlank="1" showInputMessage="1" showErrorMessage="1" error="0-1000の間で入力可能" sqref="F12:G12" xr:uid="{422A1030-D1C5-4BF1-8DCA-76790888AB7C}">
      <formula1>0</formula1>
      <formula2>1000</formula2>
    </dataValidation>
    <dataValidation type="textLength" imeMode="off" operator="equal" allowBlank="1" showInputMessage="1" showErrorMessage="1" error="入力不可項目です" sqref="E12 H12:K12" xr:uid="{0D332B07-2A9E-499C-BED1-71518577282F}">
      <formula1>0</formula1>
    </dataValidation>
    <dataValidation type="whole" imeMode="off" allowBlank="1" showInputMessage="1" showErrorMessage="1" error="0-1000の間で入力可能" sqref="F15:G15" xr:uid="{3BC7FB96-7F83-4848-9B70-492B9CEF9F44}">
      <formula1>0</formula1>
      <formula2>1000</formula2>
    </dataValidation>
    <dataValidation type="textLength" imeMode="off" operator="equal" allowBlank="1" showInputMessage="1" showErrorMessage="1" error="入力不可項目です" sqref="E15 H15:K15" xr:uid="{B19CBA0B-F148-44D9-9472-0625D966E514}">
      <formula1>0</formula1>
    </dataValidation>
    <dataValidation type="whole" imeMode="off" allowBlank="1" showInputMessage="1" showErrorMessage="1" error="0-1000の間で入力可能" sqref="F17:G17" xr:uid="{04C672D4-23AE-41A4-96EA-14351363ACF2}">
      <formula1>0</formula1>
      <formula2>1000</formula2>
    </dataValidation>
    <dataValidation type="textLength" imeMode="off" operator="equal" allowBlank="1" showInputMessage="1" showErrorMessage="1" error="入力不可項目です" sqref="E17 H17:K17" xr:uid="{094D1696-1D6F-4778-9195-A5444699EF8D}">
      <formula1>0</formula1>
    </dataValidation>
    <dataValidation type="whole" imeMode="off" allowBlank="1" showInputMessage="1" showErrorMessage="1" error="0-1000の間で入力可能" sqref="F24" xr:uid="{515F623F-2950-4345-9ECF-D184B75196E8}">
      <formula1>0</formula1>
      <formula2>1000</formula2>
    </dataValidation>
    <dataValidation type="textLength" imeMode="off" operator="equal" allowBlank="1" showInputMessage="1" showErrorMessage="1" error="入力不可項目です" sqref="E24 H24:K24" xr:uid="{3D63228D-7624-44A7-8A8D-8228433E0F46}">
      <formula1>0</formula1>
    </dataValidation>
    <dataValidation imeMode="on" allowBlank="1" showInputMessage="1" showErrorMessage="1" sqref="A25:A54 M25:M54" xr:uid="{6217C4FB-0CB0-4391-B8B2-807038B4991D}"/>
    <dataValidation imeMode="off" allowBlank="1" showInputMessage="1" showErrorMessage="1" sqref="B25:B54" xr:uid="{A8149141-70AE-408E-A599-C368B06E1FD0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468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84</v>
      </c>
      <c r="B2" s="40" t="s">
        <v>96</v>
      </c>
      <c r="C2" s="40" t="s">
        <v>113</v>
      </c>
      <c r="D2" s="26" t="str">
        <f t="shared" ref="D2:D35" si="0">camel2snake(C2)</f>
        <v>campane_price</v>
      </c>
      <c r="E2" s="40" t="s">
        <v>97</v>
      </c>
    </row>
    <row r="3" spans="1:5" x14ac:dyDescent="0.55000000000000004">
      <c r="A3" s="40" t="s">
        <v>137</v>
      </c>
      <c r="B3" s="40" t="s">
        <v>149</v>
      </c>
      <c r="C3" s="40" t="s">
        <v>150</v>
      </c>
      <c r="D3" s="26" t="str">
        <f t="shared" si="0"/>
        <v>order_pic</v>
      </c>
      <c r="E3" s="40" t="s">
        <v>152</v>
      </c>
    </row>
    <row r="4" spans="1:5" x14ac:dyDescent="0.55000000000000004">
      <c r="A4" s="40" t="s">
        <v>137</v>
      </c>
      <c r="B4" s="40" t="s">
        <v>151</v>
      </c>
      <c r="C4" s="40" t="s">
        <v>196</v>
      </c>
      <c r="D4" s="26" t="str">
        <f t="shared" si="0"/>
        <v>product_pic</v>
      </c>
      <c r="E4" s="40" t="s">
        <v>153</v>
      </c>
    </row>
    <row r="5" spans="1:5" x14ac:dyDescent="0.55000000000000004">
      <c r="A5" s="47" t="s">
        <v>130</v>
      </c>
      <c r="B5" s="47" t="s">
        <v>197</v>
      </c>
      <c r="C5" s="47" t="s">
        <v>198</v>
      </c>
      <c r="D5" s="48" t="str">
        <f t="shared" si="0"/>
        <v>salese_department</v>
      </c>
      <c r="E5" s="47" t="s">
        <v>197</v>
      </c>
    </row>
    <row r="6" spans="1:5" x14ac:dyDescent="0.55000000000000004">
      <c r="A6" s="40"/>
      <c r="B6" s="40"/>
      <c r="C6" s="40"/>
      <c r="D6" s="26" t="str">
        <f t="shared" ref="D6:D35" si="1">camel2snake(C6)</f>
        <v/>
      </c>
      <c r="E6" s="40"/>
    </row>
    <row r="7" spans="1:5" x14ac:dyDescent="0.55000000000000004">
      <c r="A7" s="40"/>
      <c r="B7" s="40"/>
      <c r="C7" s="40"/>
      <c r="D7" s="26" t="str">
        <f t="shared" si="1"/>
        <v/>
      </c>
      <c r="E7" s="40"/>
    </row>
    <row r="8" spans="1:5" x14ac:dyDescent="0.55000000000000004">
      <c r="A8" s="40"/>
      <c r="B8" s="40"/>
      <c r="C8" s="40"/>
      <c r="D8" s="26" t="str">
        <f t="shared" si="1"/>
        <v/>
      </c>
      <c r="E8" s="40"/>
    </row>
    <row r="9" spans="1:5" x14ac:dyDescent="0.55000000000000004">
      <c r="A9" s="40"/>
      <c r="B9" s="40"/>
      <c r="C9" s="40"/>
      <c r="D9" s="26" t="str">
        <f t="shared" si="1"/>
        <v/>
      </c>
      <c r="E9" s="40"/>
    </row>
    <row r="10" spans="1:5" x14ac:dyDescent="0.55000000000000004">
      <c r="A10" s="40"/>
      <c r="B10" s="40"/>
      <c r="C10" s="40"/>
      <c r="D10" s="26" t="str">
        <f t="shared" si="1"/>
        <v/>
      </c>
      <c r="E10" s="40"/>
    </row>
    <row r="11" spans="1:5" x14ac:dyDescent="0.55000000000000004">
      <c r="A11" s="40"/>
      <c r="B11" s="40"/>
      <c r="C11" s="40"/>
      <c r="D11" s="26" t="str">
        <f t="shared" si="1"/>
        <v/>
      </c>
      <c r="E11" s="40"/>
    </row>
    <row r="12" spans="1:5" x14ac:dyDescent="0.55000000000000004">
      <c r="A12" s="40"/>
      <c r="B12" s="40"/>
      <c r="C12" s="40"/>
      <c r="D12" s="26" t="str">
        <f t="shared" si="1"/>
        <v/>
      </c>
      <c r="E12" s="40"/>
    </row>
    <row r="13" spans="1:5" x14ac:dyDescent="0.55000000000000004">
      <c r="A13" s="40"/>
      <c r="B13" s="40"/>
      <c r="C13" s="40"/>
      <c r="D13" s="26" t="str">
        <f t="shared" si="1"/>
        <v/>
      </c>
      <c r="E13" s="40"/>
    </row>
    <row r="14" spans="1:5" x14ac:dyDescent="0.55000000000000004">
      <c r="A14" s="40"/>
      <c r="B14" s="40"/>
      <c r="C14" s="40"/>
      <c r="D14" s="26" t="str">
        <f t="shared" si="1"/>
        <v/>
      </c>
      <c r="E14" s="40"/>
    </row>
    <row r="15" spans="1:5" x14ac:dyDescent="0.55000000000000004">
      <c r="A15" s="40"/>
      <c r="B15" s="40"/>
      <c r="C15" s="40"/>
      <c r="D15" s="26" t="str">
        <f t="shared" si="1"/>
        <v/>
      </c>
      <c r="E15" s="40"/>
    </row>
    <row r="16" spans="1:5" x14ac:dyDescent="0.55000000000000004">
      <c r="A16" s="40"/>
      <c r="B16" s="40"/>
      <c r="C16" s="40"/>
      <c r="D16" s="26" t="str">
        <f t="shared" si="1"/>
        <v/>
      </c>
      <c r="E16" s="40"/>
    </row>
    <row r="17" spans="1:5" x14ac:dyDescent="0.55000000000000004">
      <c r="A17" s="40"/>
      <c r="B17" s="40"/>
      <c r="C17" s="40"/>
      <c r="D17" s="26" t="str">
        <f t="shared" si="1"/>
        <v/>
      </c>
      <c r="E17" s="40"/>
    </row>
    <row r="18" spans="1:5" x14ac:dyDescent="0.55000000000000004">
      <c r="A18" s="40"/>
      <c r="B18" s="40"/>
      <c r="C18" s="40"/>
      <c r="D18" s="26" t="str">
        <f t="shared" si="1"/>
        <v/>
      </c>
      <c r="E18" s="40"/>
    </row>
    <row r="19" spans="1:5" x14ac:dyDescent="0.55000000000000004">
      <c r="A19" s="40"/>
      <c r="B19" s="40"/>
      <c r="C19" s="40"/>
      <c r="D19" s="26" t="str">
        <f t="shared" si="1"/>
        <v/>
      </c>
      <c r="E19" s="40"/>
    </row>
    <row r="20" spans="1:5" x14ac:dyDescent="0.55000000000000004">
      <c r="A20" s="40"/>
      <c r="B20" s="40"/>
      <c r="C20" s="40"/>
      <c r="D20" s="26" t="str">
        <f t="shared" si="1"/>
        <v/>
      </c>
      <c r="E20" s="40"/>
    </row>
    <row r="21" spans="1:5" x14ac:dyDescent="0.55000000000000004">
      <c r="A21" s="40"/>
      <c r="B21" s="40"/>
      <c r="C21" s="40"/>
      <c r="D21" s="26" t="str">
        <f t="shared" si="1"/>
        <v/>
      </c>
      <c r="E21" s="40"/>
    </row>
    <row r="22" spans="1:5" x14ac:dyDescent="0.55000000000000004">
      <c r="A22" s="40"/>
      <c r="B22" s="40"/>
      <c r="C22" s="40"/>
      <c r="D22" s="26" t="str">
        <f t="shared" si="1"/>
        <v/>
      </c>
      <c r="E22" s="40"/>
    </row>
    <row r="23" spans="1:5" x14ac:dyDescent="0.55000000000000004">
      <c r="A23" s="40"/>
      <c r="B23" s="40"/>
      <c r="C23" s="40"/>
      <c r="D23" s="26" t="str">
        <f t="shared" si="1"/>
        <v/>
      </c>
      <c r="E23" s="40"/>
    </row>
    <row r="24" spans="1:5" x14ac:dyDescent="0.55000000000000004">
      <c r="A24" s="40"/>
      <c r="B24" s="40"/>
      <c r="C24" s="40"/>
      <c r="D24" s="26" t="str">
        <f t="shared" si="1"/>
        <v/>
      </c>
      <c r="E24" s="40"/>
    </row>
    <row r="25" spans="1:5" x14ac:dyDescent="0.55000000000000004">
      <c r="A25" s="40"/>
      <c r="B25" s="40"/>
      <c r="C25" s="40"/>
      <c r="D25" s="26" t="str">
        <f t="shared" si="1"/>
        <v/>
      </c>
      <c r="E25" s="40"/>
    </row>
    <row r="26" spans="1:5" x14ac:dyDescent="0.55000000000000004">
      <c r="A26" s="40"/>
      <c r="B26" s="40"/>
      <c r="C26" s="40"/>
      <c r="D26" s="26" t="str">
        <f t="shared" si="1"/>
        <v/>
      </c>
      <c r="E26" s="40"/>
    </row>
    <row r="27" spans="1:5" x14ac:dyDescent="0.55000000000000004">
      <c r="A27" s="40"/>
      <c r="B27" s="40"/>
      <c r="C27" s="40"/>
      <c r="D27" s="26" t="str">
        <f t="shared" si="1"/>
        <v/>
      </c>
      <c r="E27" s="40"/>
    </row>
    <row r="28" spans="1:5" x14ac:dyDescent="0.55000000000000004">
      <c r="A28" s="40"/>
      <c r="B28" s="40"/>
      <c r="C28" s="40"/>
      <c r="D28" s="26" t="str">
        <f t="shared" si="1"/>
        <v/>
      </c>
      <c r="E28" s="40"/>
    </row>
    <row r="29" spans="1:5" x14ac:dyDescent="0.55000000000000004">
      <c r="A29" s="40"/>
      <c r="B29" s="40"/>
      <c r="C29" s="40"/>
      <c r="D29" s="26" t="str">
        <f t="shared" si="1"/>
        <v/>
      </c>
      <c r="E29" s="40"/>
    </row>
    <row r="30" spans="1:5" x14ac:dyDescent="0.55000000000000004">
      <c r="A30" s="40"/>
      <c r="B30" s="40"/>
      <c r="C30" s="40"/>
      <c r="D30" s="26" t="str">
        <f t="shared" si="1"/>
        <v/>
      </c>
      <c r="E30" s="40"/>
    </row>
    <row r="31" spans="1:5" x14ac:dyDescent="0.55000000000000004">
      <c r="A31" s="40"/>
      <c r="B31" s="40"/>
      <c r="C31" s="40"/>
      <c r="D31" s="26" t="str">
        <f t="shared" si="1"/>
        <v/>
      </c>
      <c r="E31" s="40"/>
    </row>
    <row r="32" spans="1:5" x14ac:dyDescent="0.55000000000000004">
      <c r="A32" s="40"/>
      <c r="B32" s="40"/>
      <c r="C32" s="40"/>
      <c r="D32" s="26" t="str">
        <f t="shared" si="1"/>
        <v/>
      </c>
      <c r="E32" s="40"/>
    </row>
    <row r="33" spans="1:5" x14ac:dyDescent="0.55000000000000004">
      <c r="A33" s="40"/>
      <c r="B33" s="40"/>
      <c r="C33" s="40"/>
      <c r="D33" s="26" t="str">
        <f t="shared" si="1"/>
        <v/>
      </c>
      <c r="E33" s="40"/>
    </row>
    <row r="34" spans="1:5" x14ac:dyDescent="0.55000000000000004">
      <c r="A34" s="40"/>
      <c r="B34" s="40"/>
      <c r="C34" s="40"/>
      <c r="D34" s="26" t="str">
        <f t="shared" si="1"/>
        <v/>
      </c>
      <c r="E34" s="40"/>
    </row>
    <row r="35" spans="1:5" x14ac:dyDescent="0.55000000000000004">
      <c r="A35" s="41"/>
      <c r="B35" s="41"/>
      <c r="C35" s="41"/>
      <c r="D35" s="27" t="str">
        <f t="shared" si="1"/>
        <v/>
      </c>
      <c r="E35" s="41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</sheetData>
  <phoneticPr fontId="1"/>
  <conditionalFormatting sqref="A2:A5">
    <cfRule type="expression" dxfId="59" priority="1" stopIfTrue="1">
      <formula>AND(A2&lt;&gt;"",ISNA(MATCH(A2,項目リスト,0)))</formula>
    </cfRule>
  </conditionalFormatting>
  <conditionalFormatting sqref="B2:C5 E2:E5">
    <cfRule type="expression" dxfId="58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0A5A619F-43EE-4EF8-9816-C966C8D6430F}"/>
    <dataValidation imeMode="off" allowBlank="1" showInputMessage="1" showErrorMessage="1" sqref="C2:C5" xr:uid="{4A26AC61-397B-498F-BC81-5C35E770F007}"/>
    <dataValidation imeMode="on" allowBlank="1" showInputMessage="1" showErrorMessage="1" sqref="B6:B35 E6:E35" xr:uid="{17AFFA11-8CD8-451C-9673-AADADEB357D9}"/>
    <dataValidation imeMode="off" allowBlank="1" showInputMessage="1" showErrorMessage="1" sqref="C6:C35" xr:uid="{885FD7E8-5361-48E4-9BC7-C7A2052A6BA2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726"/>
  <sheetViews>
    <sheetView showGridLines="0" workbookViewId="0">
      <pane ySplit="1" topLeftCell="A2" activePane="bottomLeft" state="frozen"/>
      <selection activeCell="E5" sqref="E5"/>
      <selection pane="bottomLeft" activeCell="B14" sqref="B14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128</v>
      </c>
      <c r="D1" s="22" t="s">
        <v>6</v>
      </c>
    </row>
    <row r="2" spans="1:4" x14ac:dyDescent="0.55000000000000004">
      <c r="A2" s="40" t="s">
        <v>98</v>
      </c>
      <c r="B2" s="40" t="s">
        <v>125</v>
      </c>
      <c r="C2" s="40" t="s">
        <v>102</v>
      </c>
      <c r="D2" s="40" t="s">
        <v>103</v>
      </c>
    </row>
    <row r="3" spans="1:4" x14ac:dyDescent="0.55000000000000004">
      <c r="A3" s="40" t="s">
        <v>98</v>
      </c>
      <c r="B3" s="40" t="s">
        <v>129</v>
      </c>
      <c r="C3" s="40" t="s">
        <v>101</v>
      </c>
      <c r="D3" s="40" t="s">
        <v>104</v>
      </c>
    </row>
    <row r="4" spans="1:4" x14ac:dyDescent="0.55000000000000004">
      <c r="A4" s="40" t="s">
        <v>98</v>
      </c>
      <c r="B4" s="40" t="s">
        <v>126</v>
      </c>
      <c r="C4" s="40" t="s">
        <v>105</v>
      </c>
      <c r="D4" s="40" t="s">
        <v>108</v>
      </c>
    </row>
    <row r="5" spans="1:4" x14ac:dyDescent="0.55000000000000004">
      <c r="A5" s="40" t="s">
        <v>98</v>
      </c>
      <c r="B5" s="40" t="s">
        <v>127</v>
      </c>
      <c r="C5" s="40" t="s">
        <v>106</v>
      </c>
      <c r="D5" s="40" t="s">
        <v>107</v>
      </c>
    </row>
    <row r="6" spans="1:4" x14ac:dyDescent="0.55000000000000004">
      <c r="A6" s="40" t="s">
        <v>130</v>
      </c>
      <c r="B6" s="40" t="s">
        <v>154</v>
      </c>
      <c r="C6" s="40" t="s">
        <v>155</v>
      </c>
      <c r="D6" s="40" t="s">
        <v>156</v>
      </c>
    </row>
    <row r="7" spans="1:4" x14ac:dyDescent="0.55000000000000004">
      <c r="A7" s="40" t="s">
        <v>130</v>
      </c>
      <c r="B7" s="40" t="s">
        <v>157</v>
      </c>
      <c r="C7" s="40" t="s">
        <v>158</v>
      </c>
      <c r="D7" s="40" t="s">
        <v>159</v>
      </c>
    </row>
    <row r="8" spans="1:4" x14ac:dyDescent="0.55000000000000004">
      <c r="A8" s="40" t="s">
        <v>130</v>
      </c>
      <c r="B8" s="40" t="s">
        <v>160</v>
      </c>
      <c r="C8" s="40" t="s">
        <v>161</v>
      </c>
      <c r="D8" s="40" t="s">
        <v>162</v>
      </c>
    </row>
    <row r="9" spans="1:4" x14ac:dyDescent="0.55000000000000004">
      <c r="A9" s="40" t="s">
        <v>130</v>
      </c>
      <c r="B9" s="40" t="s">
        <v>163</v>
      </c>
      <c r="C9" s="40" t="s">
        <v>164</v>
      </c>
      <c r="D9" s="40" t="s">
        <v>165</v>
      </c>
    </row>
    <row r="10" spans="1:4" x14ac:dyDescent="0.55000000000000004">
      <c r="A10" s="40" t="s">
        <v>130</v>
      </c>
      <c r="B10" s="40" t="s">
        <v>166</v>
      </c>
      <c r="C10" s="40" t="s">
        <v>167</v>
      </c>
      <c r="D10" s="40" t="s">
        <v>168</v>
      </c>
    </row>
    <row r="11" spans="1:4" x14ac:dyDescent="0.55000000000000004">
      <c r="A11" s="40" t="s">
        <v>205</v>
      </c>
      <c r="B11" s="40" t="s">
        <v>212</v>
      </c>
      <c r="C11" s="40" t="s">
        <v>213</v>
      </c>
      <c r="D11" s="40" t="s">
        <v>213</v>
      </c>
    </row>
    <row r="12" spans="1:4" x14ac:dyDescent="0.55000000000000004">
      <c r="A12" s="40" t="s">
        <v>205</v>
      </c>
      <c r="B12" s="40" t="s">
        <v>210</v>
      </c>
      <c r="C12" s="40" t="s">
        <v>101</v>
      </c>
      <c r="D12" s="40" t="s">
        <v>214</v>
      </c>
    </row>
    <row r="13" spans="1:4" x14ac:dyDescent="0.55000000000000004">
      <c r="A13" s="40" t="s">
        <v>205</v>
      </c>
      <c r="B13" s="40" t="s">
        <v>215</v>
      </c>
      <c r="C13" s="40" t="s">
        <v>216</v>
      </c>
      <c r="D13" s="40" t="s">
        <v>216</v>
      </c>
    </row>
    <row r="14" spans="1:4" x14ac:dyDescent="0.55000000000000004">
      <c r="A14" s="47" t="s">
        <v>205</v>
      </c>
      <c r="B14" s="47" t="s">
        <v>217</v>
      </c>
      <c r="C14" s="47" t="s">
        <v>218</v>
      </c>
      <c r="D14" s="47" t="s">
        <v>218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1"/>
      <c r="B44" s="41"/>
      <c r="C44" s="41"/>
      <c r="D44" s="41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</sheetData>
  <phoneticPr fontId="1"/>
  <conditionalFormatting sqref="A2:A14">
    <cfRule type="expression" dxfId="51" priority="1" stopIfTrue="1">
      <formula>AND(A2&lt;&gt;"",ISNA(MATCH(A2,区分値リスト,0)))</formula>
    </cfRule>
  </conditionalFormatting>
  <conditionalFormatting sqref="B2:D14">
    <cfRule type="expression" dxfId="50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C3107973-06FD-456D-A5E7-1827F4BF8D20}"/>
    <dataValidation imeMode="off" allowBlank="1" showInputMessage="1" showErrorMessage="1" sqref="B2:B14" xr:uid="{B152DDEC-68E2-49BD-9BAE-9FB2BA334279}"/>
    <dataValidation imeMode="on" allowBlank="1" showInputMessage="1" showErrorMessage="1" sqref="C15:D44" xr:uid="{5B0EECC4-3E9B-4CEA-BD0C-1DA4F1FA9484}"/>
    <dataValidation imeMode="off" allowBlank="1" showInputMessage="1" showErrorMessage="1" sqref="B15:B44" xr:uid="{38F2B1D1-07BB-4211-A772-FD759EE1097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223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6" t="s">
        <v>123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35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47" priority="1" operator="equal">
      <formula>0</formula>
    </cfRule>
    <cfRule type="cellIs" dxfId="46" priority="2" operator="lessThan">
      <formula>0</formula>
    </cfRule>
    <cfRule type="cellIs" dxfId="4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171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130</v>
      </c>
    </row>
    <row r="4" spans="1:6" x14ac:dyDescent="0.55000000000000004">
      <c r="D4" t="s">
        <v>85</v>
      </c>
      <c r="F4" t="s">
        <v>205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114</v>
      </c>
    </row>
    <row r="8" spans="1:6" x14ac:dyDescent="0.55000000000000004">
      <c r="D8" t="s">
        <v>118</v>
      </c>
    </row>
    <row r="9" spans="1:6" x14ac:dyDescent="0.55000000000000004">
      <c r="D9" t="s">
        <v>130</v>
      </c>
    </row>
    <row r="10" spans="1:6" x14ac:dyDescent="0.55000000000000004">
      <c r="D10" t="s">
        <v>131</v>
      </c>
    </row>
    <row r="11" spans="1:6" x14ac:dyDescent="0.55000000000000004">
      <c r="D11" t="s">
        <v>132</v>
      </c>
    </row>
    <row r="12" spans="1:6" x14ac:dyDescent="0.55000000000000004">
      <c r="D12" t="s">
        <v>172</v>
      </c>
    </row>
    <row r="13" spans="1:6" x14ac:dyDescent="0.55000000000000004">
      <c r="D13" t="s">
        <v>134</v>
      </c>
    </row>
    <row r="14" spans="1:6" x14ac:dyDescent="0.55000000000000004">
      <c r="D14" t="s">
        <v>136</v>
      </c>
    </row>
    <row r="15" spans="1:6" x14ac:dyDescent="0.55000000000000004">
      <c r="D15" t="s">
        <v>137</v>
      </c>
    </row>
    <row r="16" spans="1:6" x14ac:dyDescent="0.55000000000000004">
      <c r="D16" t="s">
        <v>219</v>
      </c>
    </row>
    <row r="17" spans="4:4" x14ac:dyDescent="0.55000000000000004">
      <c r="D17" t="s">
        <v>169</v>
      </c>
    </row>
    <row r="18" spans="4:4" x14ac:dyDescent="0.55000000000000004">
      <c r="D18" t="s">
        <v>220</v>
      </c>
    </row>
    <row r="19" spans="4:4" x14ac:dyDescent="0.55000000000000004">
      <c r="D19" t="s">
        <v>170</v>
      </c>
    </row>
    <row r="20" spans="4:4" x14ac:dyDescent="0.55000000000000004">
      <c r="D20" t="s">
        <v>173</v>
      </c>
    </row>
    <row r="21" spans="4:4" x14ac:dyDescent="0.55000000000000004">
      <c r="D21" t="s">
        <v>174</v>
      </c>
    </row>
    <row r="22" spans="4:4" x14ac:dyDescent="0.55000000000000004">
      <c r="D22" t="s">
        <v>199</v>
      </c>
    </row>
    <row r="23" spans="4:4" x14ac:dyDescent="0.55000000000000004">
      <c r="D23" t="s">
        <v>204</v>
      </c>
    </row>
    <row r="24" spans="4:4" x14ac:dyDescent="0.55000000000000004">
      <c r="D24" t="s">
        <v>205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2024-01-19T13:52:52Z</dcterms:modified>
</cp:coreProperties>
</file>