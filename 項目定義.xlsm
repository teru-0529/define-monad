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ndre\.local\share\go\workspace\define-monad\"/>
    </mc:Choice>
  </mc:AlternateContent>
  <xr:revisionPtr revIDLastSave="0" documentId="13_ncr:1_{3258E282-91FE-421A-9490-D3F49E0FE92C}" xr6:coauthVersionLast="47" xr6:coauthVersionMax="47" xr10:uidLastSave="{00000000-0000-0000-0000-000000000000}"/>
  <bookViews>
    <workbookView xWindow="-110" yWindow="-110" windowWidth="19420" windowHeight="10300" xr2:uid="{4FF7646A-CA4B-4541-903D-9E5CEE0F355A}"/>
  </bookViews>
  <sheets>
    <sheet name="項目" sheetId="3" r:id="rId1"/>
    <sheet name="別名" sheetId="5" r:id="rId2"/>
    <sheet name="区分値" sheetId="6" r:id="rId3"/>
    <sheet name="タイプ" sheetId="1" r:id="rId4"/>
    <sheet name="WORK" sheetId="4" state="hidden" r:id="rId5"/>
  </sheets>
  <functionGroups builtInGroupCount="19"/>
  <definedNames>
    <definedName name="INVALID">FALSE</definedName>
    <definedName name="VALID">TRUE</definedName>
    <definedName name="VALIDATION_RESULT">TRUE</definedName>
    <definedName name="ドメインタイプDATA">タイプ!$A$2:$N$14</definedName>
    <definedName name="ドメインタイプKEY">タイプ!$A$2:$A$14</definedName>
    <definedName name="区分値リスト">OFFSET(WORK!$F$2,,,COUNTA(WORK!$F:$F)-1,1)</definedName>
    <definedName name="区分値項目KEY">OFFSET(区分値!$A$2,,,COUNTA(区分値!$A:$A)+20,1)</definedName>
    <definedName name="項目リスト">OFFSET(WORK!$D$2,,,COUNTA(WORK!$D:$D)-1,1)</definedName>
    <definedName name="項目名KEY">OFFSET(項目!$A$2,,,COUNTA(項目!$A:$A)+20,1)</definedName>
    <definedName name="入力必須">WORK!$B$3</definedName>
    <definedName name="入力不可">WORK!$B$2</definedName>
    <definedName name="派生元項目KEY">OFFSET(別名!$A$2,,,COUNTA(別名!$A:$A)+20,1)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28" i="3" l="1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O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N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M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L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C28" i="3"/>
  <c r="C36" i="3"/>
  <c r="C44" i="3"/>
  <c r="C52" i="3"/>
  <c r="C29" i="3"/>
  <c r="C37" i="3"/>
  <c r="C45" i="3"/>
  <c r="C53" i="3"/>
  <c r="C30" i="3"/>
  <c r="C38" i="3"/>
  <c r="C46" i="3"/>
  <c r="C54" i="3"/>
  <c r="C35" i="3"/>
  <c r="C31" i="3"/>
  <c r="C39" i="3"/>
  <c r="C47" i="3"/>
  <c r="C55" i="3"/>
  <c r="C32" i="3"/>
  <c r="C40" i="3"/>
  <c r="C48" i="3"/>
  <c r="C56" i="3"/>
  <c r="C43" i="3"/>
  <c r="C33" i="3"/>
  <c r="C41" i="3"/>
  <c r="C49" i="3"/>
  <c r="C57" i="3"/>
  <c r="C51" i="3"/>
  <c r="C34" i="3"/>
  <c r="C42" i="3"/>
  <c r="C50" i="3"/>
  <c r="D6" i="5"/>
  <c r="D14" i="5"/>
  <c r="D22" i="5"/>
  <c r="D30" i="5"/>
  <c r="D7" i="5"/>
  <c r="D15" i="5"/>
  <c r="D23" i="5"/>
  <c r="D31" i="5"/>
  <c r="D8" i="5"/>
  <c r="D16" i="5"/>
  <c r="D24" i="5"/>
  <c r="D32" i="5"/>
  <c r="D9" i="5"/>
  <c r="D17" i="5"/>
  <c r="D25" i="5"/>
  <c r="D33" i="5"/>
  <c r="D10" i="5"/>
  <c r="D18" i="5"/>
  <c r="D26" i="5"/>
  <c r="D34" i="5"/>
  <c r="D11" i="5"/>
  <c r="D19" i="5"/>
  <c r="D27" i="5"/>
  <c r="D35" i="5"/>
  <c r="D12" i="5"/>
  <c r="D20" i="5"/>
  <c r="D28" i="5"/>
  <c r="D13" i="5"/>
  <c r="D21" i="5"/>
  <c r="D29" i="5"/>
  <c r="D2" i="5"/>
  <c r="D3" i="5"/>
  <c r="D4" i="5"/>
  <c r="D5" i="5"/>
  <c r="C2" i="3"/>
  <c r="C10" i="3"/>
  <c r="C18" i="3"/>
  <c r="C26" i="3"/>
  <c r="C11" i="3"/>
  <c r="C19" i="3"/>
  <c r="C27" i="3"/>
  <c r="C12" i="3"/>
  <c r="C20" i="3"/>
  <c r="C13" i="3"/>
  <c r="C21" i="3"/>
  <c r="C3" i="3"/>
  <c r="C4" i="3"/>
  <c r="C5" i="3"/>
  <c r="C6" i="3"/>
  <c r="C14" i="3"/>
  <c r="C22" i="3"/>
  <c r="C23" i="3"/>
  <c r="C16" i="3"/>
  <c r="C24" i="3"/>
  <c r="C9" i="3"/>
  <c r="C25" i="3"/>
  <c r="C7" i="3"/>
  <c r="C15" i="3"/>
  <c r="C17" i="3"/>
  <c r="C8" i="3"/>
</calcChain>
</file>

<file path=xl/sharedStrings.xml><?xml version="1.0" encoding="utf-8"?>
<sst xmlns="http://schemas.openxmlformats.org/spreadsheetml/2006/main" count="378" uniqueCount="241">
  <si>
    <t>タイプ</t>
    <phoneticPr fontId="1"/>
  </si>
  <si>
    <t>正規表現</t>
    <rPh sb="0" eb="4">
      <t>セイキヒョウゲン</t>
    </rPh>
    <phoneticPr fontId="1"/>
  </si>
  <si>
    <t>最小桁数</t>
    <rPh sb="0" eb="4">
      <t>サイショウケタスウ</t>
    </rPh>
    <phoneticPr fontId="1"/>
  </si>
  <si>
    <t>最大桁数</t>
    <rPh sb="0" eb="4">
      <t>サイダイケタスウ</t>
    </rPh>
    <phoneticPr fontId="1"/>
  </si>
  <si>
    <t>最小値</t>
    <rPh sb="0" eb="3">
      <t>サイショウチ</t>
    </rPh>
    <phoneticPr fontId="1"/>
  </si>
  <si>
    <t>最大値</t>
    <rPh sb="0" eb="3">
      <t>サイダイチ</t>
    </rPh>
    <phoneticPr fontId="1"/>
  </si>
  <si>
    <t>概要説明</t>
    <rPh sb="0" eb="2">
      <t>ガイヨウ</t>
    </rPh>
    <rPh sb="2" eb="4">
      <t>セツメイ</t>
    </rPh>
    <phoneticPr fontId="1"/>
  </si>
  <si>
    <t>ID</t>
    <phoneticPr fontId="1"/>
  </si>
  <si>
    <t>UUID</t>
    <phoneticPr fontId="1"/>
  </si>
  <si>
    <t>区分値</t>
    <rPh sb="0" eb="3">
      <t>クブンチ</t>
    </rPh>
    <phoneticPr fontId="1"/>
  </si>
  <si>
    <t>コード値</t>
    <rPh sb="3" eb="4">
      <t>チ</t>
    </rPh>
    <phoneticPr fontId="1"/>
  </si>
  <si>
    <t>命名ルール</t>
    <rPh sb="0" eb="2">
      <t>メイメイ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</si>
  <si>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Code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</si>
  <si>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Type</t>
    </r>
    <phoneticPr fontId="1"/>
  </si>
  <si>
    <t>可否/フラグ</t>
    <rPh sb="0" eb="2">
      <t>カヒ</t>
    </rPh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</si>
  <si>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ID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</si>
  <si>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No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</si>
  <si>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UID</t>
    </r>
    <phoneticPr fontId="1"/>
  </si>
  <si>
    <t>日付</t>
    <rPh sb="0" eb="2">
      <t>ヒヅケ</t>
    </rPh>
    <phoneticPr fontId="1"/>
  </si>
  <si>
    <t>日時</t>
    <rPh sb="0" eb="2">
      <t>ニチジ</t>
    </rPh>
    <phoneticPr fontId="1"/>
  </si>
  <si>
    <t>時間</t>
    <rPh sb="0" eb="2">
      <t>ジカン</t>
    </rPh>
    <phoneticPr fontId="1"/>
  </si>
  <si>
    <t>整数</t>
    <rPh sb="0" eb="2">
      <t>セイスウ</t>
    </rPh>
    <phoneticPr fontId="1"/>
  </si>
  <si>
    <t>実数</t>
    <rPh sb="0" eb="2">
      <t>ジッスウ</t>
    </rPh>
    <phoneticPr fontId="1"/>
  </si>
  <si>
    <t>文字列</t>
    <rPh sb="0" eb="3">
      <t>モジレツ</t>
    </rPh>
    <phoneticPr fontId="1"/>
  </si>
  <si>
    <t>テキスト</t>
    <phoneticPr fontId="1"/>
  </si>
  <si>
    <t>String</t>
    <phoneticPr fontId="1"/>
  </si>
  <si>
    <t>Integer</t>
    <phoneticPr fontId="1"/>
  </si>
  <si>
    <t>Enum</t>
    <phoneticPr fontId="1"/>
  </si>
  <si>
    <t>Boolean</t>
    <phoneticPr fontId="1"/>
  </si>
  <si>
    <t>LocalDate</t>
    <phoneticPr fontId="1"/>
  </si>
  <si>
    <t>Double</t>
    <phoneticPr fontId="1"/>
  </si>
  <si>
    <t>int</t>
    <phoneticPr fontId="1"/>
  </si>
  <si>
    <t>str</t>
    <phoneticPr fontId="1"/>
  </si>
  <si>
    <t>float</t>
    <phoneticPr fontId="1"/>
  </si>
  <si>
    <t>bool</t>
    <phoneticPr fontId="1"/>
  </si>
  <si>
    <t>datetime</t>
    <phoneticPr fontId="1"/>
  </si>
  <si>
    <t>uuid</t>
    <phoneticPr fontId="1"/>
  </si>
  <si>
    <t>enum</t>
    <phoneticPr fontId="1"/>
  </si>
  <si>
    <t>string</t>
    <phoneticPr fontId="1"/>
  </si>
  <si>
    <t>varchar</t>
    <phoneticPr fontId="1"/>
  </si>
  <si>
    <t>Number</t>
    <phoneticPr fontId="1"/>
  </si>
  <si>
    <t>serial</t>
    <phoneticPr fontId="1"/>
  </si>
  <si>
    <t>integer</t>
    <phoneticPr fontId="1"/>
  </si>
  <si>
    <t>日本時間</t>
    <rPh sb="0" eb="4">
      <t>ニホンジカン</t>
    </rPh>
    <phoneticPr fontId="1"/>
  </si>
  <si>
    <t>整数値</t>
    <rPh sb="0" eb="3">
      <t>セイスウチ</t>
    </rPh>
    <phoneticPr fontId="1"/>
  </si>
  <si>
    <t>実数値</t>
    <rPh sb="0" eb="1">
      <t>ジツ</t>
    </rPh>
    <rPh sb="1" eb="3">
      <t>スウチ</t>
    </rPh>
    <phoneticPr fontId="1"/>
  </si>
  <si>
    <t>長さ指定あり文字列</t>
    <rPh sb="0" eb="1">
      <t>ナガ</t>
    </rPh>
    <rPh sb="2" eb="4">
      <t>シテイ</t>
    </rPh>
    <rPh sb="6" eb="9">
      <t>モジレツ</t>
    </rPh>
    <phoneticPr fontId="1"/>
  </si>
  <si>
    <t>長さ指定なし文字列</t>
    <rPh sb="0" eb="1">
      <t>ナガ</t>
    </rPh>
    <rPh sb="2" eb="4">
      <t>シテイ</t>
    </rPh>
    <rPh sb="6" eb="9">
      <t>モジレツ</t>
    </rPh>
    <phoneticPr fontId="1"/>
  </si>
  <si>
    <t>text</t>
    <phoneticPr fontId="1"/>
  </si>
  <si>
    <t>numeric</t>
    <phoneticPr fontId="1"/>
  </si>
  <si>
    <t>timestamp</t>
    <phoneticPr fontId="1"/>
  </si>
  <si>
    <t>date</t>
    <phoneticPr fontId="1"/>
  </si>
  <si>
    <t>boolean</t>
    <phoneticPr fontId="1"/>
  </si>
  <si>
    <t>number</t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</si>
  <si>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DateTime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</si>
  <si>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Date</t>
    </r>
    <phoneticPr fontId="1"/>
  </si>
  <si>
    <r>
      <t>xx</t>
    </r>
    <r>
      <rPr>
        <b/>
        <sz val="9"/>
        <color theme="1"/>
        <rFont val="游ゴシック"/>
        <family val="3"/>
        <charset val="128"/>
        <scheme val="minor"/>
      </rPr>
      <t>Time</t>
    </r>
    <phoneticPr fontId="1"/>
  </si>
  <si>
    <t>型
(Java)</t>
    <rPh sb="0" eb="1">
      <t>カタ</t>
    </rPh>
    <phoneticPr fontId="1"/>
  </si>
  <si>
    <t>型
(Python)</t>
    <rPh sb="0" eb="1">
      <t>カタ</t>
    </rPh>
    <phoneticPr fontId="1"/>
  </si>
  <si>
    <t>型
(JavaScript)</t>
    <rPh sb="0" eb="1">
      <t>カタ</t>
    </rPh>
    <phoneticPr fontId="1"/>
  </si>
  <si>
    <t>型
(postgress)</t>
    <rPh sb="0" eb="1">
      <t>カタ</t>
    </rPh>
    <phoneticPr fontId="1"/>
  </si>
  <si>
    <t>型
(OpenAPI)</t>
    <rPh sb="0" eb="1">
      <t>カタ</t>
    </rPh>
    <phoneticPr fontId="1"/>
  </si>
  <si>
    <t>APIパス
パラメータ</t>
    <phoneticPr fontId="1"/>
  </si>
  <si>
    <t>リソース内ユニーク性の担保
●ユーザー可視可能
●システム内部採番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9" eb="31">
      <t>ナイブ</t>
    </rPh>
    <rPh sb="31" eb="33">
      <t>サイバン</t>
    </rPh>
    <phoneticPr fontId="1"/>
  </si>
  <si>
    <t>リソース内ユニーク性の担保
●ユーザー可視可能
●外部採番</t>
    <rPh sb="4" eb="5">
      <t>ナイ</t>
    </rPh>
    <rPh sb="9" eb="10">
      <t>セイ</t>
    </rPh>
    <rPh sb="11" eb="13">
      <t>タンポ</t>
    </rPh>
    <rPh sb="19" eb="21">
      <t>カシ</t>
    </rPh>
    <rPh sb="21" eb="22">
      <t>カ</t>
    </rPh>
    <rPh sb="22" eb="23">
      <t>ノウ</t>
    </rPh>
    <rPh sb="25" eb="29">
      <t>ガイブサイバン</t>
    </rPh>
    <phoneticPr fontId="1"/>
  </si>
  <si>
    <t>リソース内ユニーク性の担保
●システム内部のみ利用可
※API定義に出てきてはいけない</t>
    <rPh sb="4" eb="5">
      <t>ナイ</t>
    </rPh>
    <rPh sb="9" eb="10">
      <t>セイ</t>
    </rPh>
    <rPh sb="11" eb="13">
      <t>タンポ</t>
    </rPh>
    <rPh sb="19" eb="21">
      <t>ナイブ</t>
    </rPh>
    <rPh sb="23" eb="25">
      <t>リヨウ</t>
    </rPh>
    <rPh sb="25" eb="26">
      <t>カ</t>
    </rPh>
    <rPh sb="31" eb="33">
      <t>テイギ</t>
    </rPh>
    <rPh sb="34" eb="35">
      <t>デ</t>
    </rPh>
    <phoneticPr fontId="1"/>
  </si>
  <si>
    <t>列挙型
●増減の場合システム改修が必要</t>
    <rPh sb="0" eb="3">
      <t>レッキョガタ</t>
    </rPh>
    <rPh sb="5" eb="7">
      <t>ゾウゲン</t>
    </rPh>
    <rPh sb="8" eb="10">
      <t>バアイ</t>
    </rPh>
    <rPh sb="14" eb="16">
      <t>カイシュウ</t>
    </rPh>
    <rPh sb="17" eb="19">
      <t>ヒツヨウ</t>
    </rPh>
    <phoneticPr fontId="1"/>
  </si>
  <si>
    <t>コード値/値のペアがDBで管理される。
●増減はAPIにより可能</t>
    <rPh sb="3" eb="4">
      <t>チ</t>
    </rPh>
    <rPh sb="5" eb="6">
      <t>アタイ</t>
    </rPh>
    <rPh sb="13" eb="15">
      <t>カンリ</t>
    </rPh>
    <rPh sb="21" eb="23">
      <t>ゾウゲン</t>
    </rPh>
    <rPh sb="30" eb="32">
      <t>カノウ</t>
    </rPh>
    <phoneticPr fontId="1"/>
  </si>
  <si>
    <t>真偽値
●何をTrueとするかわかるよな命名とすること</t>
    <rPh sb="0" eb="3">
      <t>シンギチ</t>
    </rPh>
    <rPh sb="5" eb="6">
      <t>ナニ</t>
    </rPh>
    <rPh sb="20" eb="22">
      <t>メイメイ</t>
    </rPh>
    <phoneticPr fontId="1"/>
  </si>
  <si>
    <t>名称（和）</t>
    <rPh sb="0" eb="2">
      <t>メイショウ</t>
    </rPh>
    <rPh sb="3" eb="4">
      <t>ワ</t>
    </rPh>
    <phoneticPr fontId="1"/>
  </si>
  <si>
    <t>名称（英）
camel</t>
    <rPh sb="0" eb="2">
      <t>メイショウ</t>
    </rPh>
    <rPh sb="3" eb="4">
      <t>エイ</t>
    </rPh>
    <phoneticPr fontId="1"/>
  </si>
  <si>
    <t>名称（英）
snake</t>
    <rPh sb="0" eb="2">
      <t>メイショウ</t>
    </rPh>
    <rPh sb="3" eb="4">
      <t>エイ</t>
    </rPh>
    <phoneticPr fontId="1"/>
  </si>
  <si>
    <t>example
(OpenAPI)</t>
    <phoneticPr fontId="1"/>
  </si>
  <si>
    <t>区分値数</t>
    <rPh sb="0" eb="3">
      <t>クブンチ</t>
    </rPh>
    <rPh sb="3" eb="4">
      <t>スウ</t>
    </rPh>
    <phoneticPr fontId="1"/>
  </si>
  <si>
    <t>最小値
最大値</t>
    <rPh sb="0" eb="3">
      <t>サイショウチ</t>
    </rPh>
    <rPh sb="4" eb="7">
      <t>サイダイチ</t>
    </rPh>
    <phoneticPr fontId="1"/>
  </si>
  <si>
    <t>入力不可</t>
    <rPh sb="0" eb="4">
      <t>ニュウリョクフカ</t>
    </rPh>
    <phoneticPr fontId="1"/>
  </si>
  <si>
    <t>入力必須</t>
    <rPh sb="0" eb="4">
      <t>ニュウリョクヒッス</t>
    </rPh>
    <phoneticPr fontId="1"/>
  </si>
  <si>
    <t>名称（和）</t>
    <phoneticPr fontId="1"/>
  </si>
  <si>
    <t>派生元</t>
    <rPh sb="0" eb="3">
      <t>ハセイモト</t>
    </rPh>
    <phoneticPr fontId="1"/>
  </si>
  <si>
    <t>項目</t>
    <rPh sb="0" eb="2">
      <t>コウモク</t>
    </rPh>
    <phoneticPr fontId="1"/>
  </si>
  <si>
    <t>区分値項目</t>
    <rPh sb="0" eb="5">
      <t>クブンチコウモク</t>
    </rPh>
    <phoneticPr fontId="1"/>
  </si>
  <si>
    <t>区分値リスト</t>
    <rPh sb="0" eb="2">
      <t>クブン</t>
    </rPh>
    <rPh sb="2" eb="3">
      <t>チ</t>
    </rPh>
    <phoneticPr fontId="1"/>
  </si>
  <si>
    <t>項目リスト</t>
    <rPh sb="0" eb="2">
      <t>コウモク</t>
    </rPh>
    <phoneticPr fontId="1"/>
  </si>
  <si>
    <t>項目名</t>
    <rPh sb="0" eb="3">
      <t>コウモクメイ</t>
    </rPh>
    <phoneticPr fontId="1"/>
  </si>
  <si>
    <t>定価</t>
  </si>
  <si>
    <t>UP</t>
  </si>
  <si>
    <t>price</t>
  </si>
  <si>
    <t>up</t>
  </si>
  <si>
    <t>AAA000001</t>
  </si>
  <si>
    <t>整数</t>
  </si>
  <si>
    <t>日付</t>
  </si>
  <si>
    <t>実数</t>
  </si>
  <si>
    <t>14000</t>
  </si>
  <si>
    <t>250.25</t>
  </si>
  <si>
    <t>登録日</t>
  </si>
  <si>
    <t>2022-12-31</t>
  </si>
  <si>
    <t>キャンペーン定価</t>
  </si>
  <si>
    <t>キャンペーンの定価</t>
  </si>
  <si>
    <t>商品区分</t>
  </si>
  <si>
    <t>productKbn</t>
  </si>
  <si>
    <t>商品の状態を表す区分</t>
  </si>
  <si>
    <t>通常</t>
  </si>
  <si>
    <t>未確認</t>
  </si>
  <si>
    <t>未確認商品</t>
  </si>
  <si>
    <t>通常商品</t>
  </si>
  <si>
    <t>変更</t>
  </si>
  <si>
    <t>中止</t>
  </si>
  <si>
    <t>販売中止品</t>
  </si>
  <si>
    <t>他商品に変更</t>
  </si>
  <si>
    <t>商品特定のユニークキー</t>
  </si>
  <si>
    <t>円、希望小売価格</t>
  </si>
  <si>
    <t>仕入れ先からの購入価格</t>
  </si>
  <si>
    <t>campanePrice</t>
  </si>
  <si>
    <t>コメント</t>
  </si>
  <si>
    <t>テキスト</t>
  </si>
  <si>
    <t>comment</t>
  </si>
  <si>
    <t>制御用装置</t>
  </si>
  <si>
    <t>更新可能</t>
  </si>
  <si>
    <t>可否/フラグ</t>
  </si>
  <si>
    <t>false</t>
  </si>
  <si>
    <t>更新可否</t>
  </si>
  <si>
    <t>別名数</t>
    <rPh sb="0" eb="3">
      <t>ベツメイスウ</t>
    </rPh>
    <phoneticPr fontId="1"/>
  </si>
  <si>
    <r>
      <rPr>
        <b/>
        <sz val="9"/>
        <color theme="1"/>
        <rFont val="游ゴシック"/>
        <family val="3"/>
        <charset val="128"/>
        <scheme val="minor"/>
      </rPr>
      <t>is</t>
    </r>
    <r>
      <rPr>
        <sz val="9"/>
        <color theme="1"/>
        <rFont val="游ゴシック"/>
        <family val="2"/>
        <charset val="128"/>
        <scheme val="minor"/>
      </rPr>
      <t>Xxx</t>
    </r>
    <r>
      <rPr>
        <sz val="9"/>
        <color theme="1"/>
        <rFont val="游ゴシック"/>
        <family val="3"/>
        <charset val="128"/>
        <scheme val="minor"/>
      </rPr>
      <t xml:space="preserve">
</t>
    </r>
    <r>
      <rPr>
        <b/>
        <sz val="9"/>
        <color theme="1"/>
        <rFont val="游ゴシック"/>
        <family val="3"/>
        <charset val="128"/>
        <scheme val="minor"/>
      </rPr>
      <t>can</t>
    </r>
    <r>
      <rPr>
        <sz val="9"/>
        <color theme="1"/>
        <rFont val="游ゴシック"/>
        <family val="3"/>
        <charset val="128"/>
        <scheme val="minor"/>
      </rPr>
      <t>Xxx</t>
    </r>
    <phoneticPr fontId="1"/>
  </si>
  <si>
    <t>canUpdate</t>
  </si>
  <si>
    <t>NO_CHECKED</t>
  </si>
  <si>
    <t>CHANGED</t>
  </si>
  <si>
    <t>STOPPED</t>
  </si>
  <si>
    <t>区分名</t>
    <rPh sb="0" eb="3">
      <t>クブンメイ</t>
    </rPh>
    <phoneticPr fontId="1"/>
  </si>
  <si>
    <t>NORMAL</t>
  </si>
  <si>
    <t>部署</t>
  </si>
  <si>
    <t>受注日</t>
  </si>
  <si>
    <t>数量</t>
  </si>
  <si>
    <t>受注番号</t>
  </si>
  <si>
    <t>受注連番</t>
  </si>
  <si>
    <t>ID</t>
  </si>
  <si>
    <t>担当者名</t>
  </si>
  <si>
    <t>ユーザーID</t>
  </si>
  <si>
    <t>orderDate</t>
  </si>
  <si>
    <t>quantity</t>
  </si>
  <si>
    <t>orderDetailNo</t>
  </si>
  <si>
    <t>userId</t>
  </si>
  <si>
    <t>30</t>
  </si>
  <si>
    <t>RO-0000001</t>
  </si>
  <si>
    <t>1051</t>
  </si>
  <si>
    <t>文字列</t>
  </si>
  <si>
    <t>織田信長</t>
  </si>
  <si>
    <t>業務担当者</t>
  </si>
  <si>
    <t>システム利用ユーザー</t>
  </si>
  <si>
    <t>受注担当者ID</t>
  </si>
  <si>
    <t>orderPIC</t>
  </si>
  <si>
    <t>商品担当者ID</t>
  </si>
  <si>
    <t>受注担当者のユーザーID</t>
  </si>
  <si>
    <t>商品管理者のユーザーID</t>
  </si>
  <si>
    <t>RECEIVING</t>
  </si>
  <si>
    <t>受注部</t>
  </si>
  <si>
    <t>受注・発送</t>
  </si>
  <si>
    <t>ORDERING</t>
  </si>
  <si>
    <t>発注部</t>
  </si>
  <si>
    <t>発注・仕入</t>
  </si>
  <si>
    <t>PRODUCTS</t>
  </si>
  <si>
    <t>商品部</t>
  </si>
  <si>
    <t>検品・入出庫</t>
  </si>
  <si>
    <t>OVERSEAS</t>
  </si>
  <si>
    <t>海外部</t>
  </si>
  <si>
    <t>海外業務</t>
  </si>
  <si>
    <t>ACCOUNTING</t>
  </si>
  <si>
    <t>経理部</t>
  </si>
  <si>
    <t>経理業務</t>
  </si>
  <si>
    <t>得意先ID</t>
  </si>
  <si>
    <t>稼働中</t>
  </si>
  <si>
    <t>商品No</t>
  </si>
  <si>
    <t>受注No</t>
  </si>
  <si>
    <t>利益率</t>
  </si>
  <si>
    <t>帳票未表示</t>
  </si>
  <si>
    <t>productNo</t>
  </si>
  <si>
    <t>receivedOrderNo</t>
  </si>
  <si>
    <t>personInCharge</t>
  </si>
  <si>
    <t>productName</t>
  </si>
  <si>
    <t>isWorking</t>
  </si>
  <si>
    <t>profitRate</t>
  </si>
  <si>
    <t>excludeReport</t>
  </si>
  <si>
    <t>受注明細番号</t>
  </si>
  <si>
    <t>日本刀</t>
  </si>
  <si>
    <t>取扱商品名</t>
  </si>
  <si>
    <t>A01</t>
  </si>
  <si>
    <t>得意先のID</t>
  </si>
  <si>
    <t>徳川物産</t>
  </si>
  <si>
    <t>得意先の名称</t>
  </si>
  <si>
    <t>true</t>
  </si>
  <si>
    <t>稼働状況</t>
  </si>
  <si>
    <t>0.324</t>
  </si>
  <si>
    <t>帳票などに出力しない場合にtrue</t>
  </si>
  <si>
    <t>department</t>
  </si>
  <si>
    <t>productPIC</t>
  </si>
  <si>
    <t>売上計上部署</t>
  </si>
  <si>
    <t>saleseDepartment</t>
  </si>
  <si>
    <t>発送時間</t>
  </si>
  <si>
    <t>時間</t>
  </si>
  <si>
    <t>14:00</t>
  </si>
  <si>
    <t>出荷時間</t>
  </si>
  <si>
    <t>shippingTime</t>
  </si>
  <si>
    <t>取引有無</t>
  </si>
  <si>
    <t>取引先区分</t>
  </si>
  <si>
    <t>registrationDate</t>
  </si>
  <si>
    <t>isActiveCustomer</t>
  </si>
  <si>
    <t>取引中かどうか</t>
  </si>
  <si>
    <t>STANDARD</t>
  </si>
  <si>
    <t>取引先の区分</t>
  </si>
  <si>
    <t>LOYAL</t>
  </si>
  <si>
    <t>お得意様</t>
  </si>
  <si>
    <t>通常得意先</t>
  </si>
  <si>
    <t>TRIAL</t>
  </si>
  <si>
    <t>新規顧客</t>
  </si>
  <si>
    <t>NOT_TRADE</t>
  </si>
  <si>
    <t>取引停止</t>
  </si>
  <si>
    <t>商品名称</t>
  </si>
  <si>
    <t>得意先</t>
  </si>
  <si>
    <t>NOKEY</t>
  </si>
  <si>
    <t>NOKEY</t>
    <phoneticPr fontId="1"/>
  </si>
  <si>
    <t>区分値</t>
  </si>
  <si>
    <t>A032</t>
  </si>
  <si>
    <t>承認日時</t>
  </si>
  <si>
    <t>社員番号</t>
  </si>
  <si>
    <t>date-time</t>
    <phoneticPr fontId="1"/>
  </si>
  <si>
    <t>approveDatetime</t>
  </si>
  <si>
    <t>emploeeNo</t>
  </si>
  <si>
    <t>日時</t>
  </si>
  <si>
    <t>2024-01-01T11:07:31</t>
  </si>
  <si>
    <t>承認した日時</t>
  </si>
  <si>
    <t>UUID</t>
  </si>
  <si>
    <t>ログID</t>
  </si>
  <si>
    <t>customerType</t>
  </si>
  <si>
    <t>logId</t>
  </si>
  <si>
    <t>0012</t>
  </si>
  <si>
    <t>ede66c43-9b9d-4222-93ed-5f11c96e08e2</t>
  </si>
  <si>
    <t>ログのID</t>
  </si>
  <si>
    <t>^([0-1]?[0-9]|2[0-3]):[0-5][0-9]$</t>
    <phoneticPr fontId="1"/>
  </si>
  <si>
    <t>customerName</t>
    <phoneticPr fontId="1"/>
  </si>
  <si>
    <t>customerId</t>
    <phoneticPr fontId="1"/>
  </si>
  <si>
    <t>定価２</t>
  </si>
  <si>
    <t>定価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</si>
</sst>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&quot;(必須)&quot;;&quot;(不可)&quot;;&quot;(任意)&quot;;"/>
    <numFmt numFmtId="177" formatCode="&quot;利用可能&quot;"/>
    <numFmt numFmtId="178" formatCode="0_;;;"/>
    <numFmt numFmtId="179" formatCode="#,##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9"/>
      <color theme="0"/>
      <name val="游ゴシック"/>
      <family val="2"/>
      <charset val="128"/>
      <scheme val="minor"/>
    </font>
    <font>
      <sz val="9"/>
      <color theme="0"/>
      <name val="游ゴシック"/>
      <family val="3"/>
      <charset val="128"/>
      <scheme val="minor"/>
    </font>
    <font>
      <sz val="8"/>
      <color theme="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D5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305496"/>
        <bgColor indexed="64"/>
      </patternFill>
    </fill>
  </fills>
  <borders count="16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0"/>
      </right>
      <top style="thin">
        <color theme="4"/>
      </top>
      <bottom style="thin">
        <color theme="4"/>
      </bottom>
      <diagonal/>
    </border>
    <border>
      <left style="thin">
        <color theme="0"/>
      </left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theme="4"/>
      </left>
      <right style="thin">
        <color theme="4"/>
      </right>
      <top style="thin">
        <color theme="8" tint="0.59996337778862885"/>
      </top>
      <bottom style="thin">
        <color theme="4"/>
      </bottom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/>
      <right style="thin">
        <color theme="0"/>
      </right>
      <top style="thin">
        <color theme="4"/>
      </top>
      <bottom/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/>
      <diagonal/>
    </border>
  </borders>
  <cellStyleXfs count="1">
    <xf numFmtId="0" fontId="0" fillId="0" borderId="0">
      <alignment vertical="center"/>
    </xf>
  </cellStyleXfs>
  <cellXfs count="48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4" xfId="0" applyFont="1" applyBorder="1">
      <alignment vertical="center"/>
    </xf>
    <xf numFmtId="176" fontId="2" fillId="0" borderId="4" xfId="0" applyNumberFormat="1" applyFont="1" applyBorder="1" applyAlignment="1">
      <alignment horizontal="center" vertical="center"/>
    </xf>
    <xf numFmtId="177" fontId="2" fillId="0" borderId="4" xfId="0" applyNumberFormat="1" applyFont="1" applyBorder="1" applyAlignment="1">
      <alignment horizontal="center" vertical="center"/>
    </xf>
    <xf numFmtId="0" fontId="2" fillId="0" borderId="5" xfId="0" applyFont="1" applyBorder="1">
      <alignment vertical="center"/>
    </xf>
    <xf numFmtId="176" fontId="2" fillId="0" borderId="5" xfId="0" applyNumberFormat="1" applyFont="1" applyBorder="1" applyAlignment="1">
      <alignment horizontal="center" vertical="center"/>
    </xf>
    <xf numFmtId="177" fontId="2" fillId="0" borderId="5" xfId="0" applyNumberFormat="1" applyFont="1" applyBorder="1" applyAlignment="1">
      <alignment horizontal="center" vertical="center"/>
    </xf>
    <xf numFmtId="0" fontId="2" fillId="0" borderId="6" xfId="0" applyFont="1" applyBorder="1">
      <alignment vertical="center"/>
    </xf>
    <xf numFmtId="176" fontId="2" fillId="0" borderId="6" xfId="0" applyNumberFormat="1" applyFont="1" applyBorder="1" applyAlignment="1">
      <alignment horizontal="center" vertical="center"/>
    </xf>
    <xf numFmtId="177" fontId="2" fillId="0" borderId="6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vertical="center" wrapText="1"/>
    </xf>
    <xf numFmtId="0" fontId="2" fillId="0" borderId="5" xfId="0" applyFont="1" applyBorder="1" applyAlignment="1">
      <alignment vertical="center" wrapText="1"/>
    </xf>
    <xf numFmtId="0" fontId="2" fillId="0" borderId="6" xfId="0" applyFont="1" applyBorder="1" applyAlignment="1">
      <alignment vertical="center" wrapText="1"/>
    </xf>
    <xf numFmtId="0" fontId="5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 vertical="center"/>
    </xf>
    <xf numFmtId="0" fontId="7" fillId="2" borderId="8" xfId="0" applyFont="1" applyFill="1" applyBorder="1" applyAlignment="1">
      <alignment horizontal="center" vertical="center" wrapText="1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 wrapText="1"/>
    </xf>
    <xf numFmtId="0" fontId="7" fillId="2" borderId="10" xfId="0" applyFont="1" applyFill="1" applyBorder="1" applyAlignment="1">
      <alignment horizontal="center" vertical="center"/>
    </xf>
    <xf numFmtId="0" fontId="8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2" fillId="5" borderId="12" xfId="0" applyFont="1" applyFill="1" applyBorder="1">
      <alignment vertical="center"/>
    </xf>
    <xf numFmtId="0" fontId="2" fillId="5" borderId="13" xfId="0" applyFont="1" applyFill="1" applyBorder="1">
      <alignment vertical="center"/>
    </xf>
    <xf numFmtId="0" fontId="7" fillId="2" borderId="11" xfId="0" applyFont="1" applyFill="1" applyBorder="1" applyAlignment="1">
      <alignment horizontal="center" vertical="center"/>
    </xf>
    <xf numFmtId="0" fontId="0" fillId="0" borderId="14" xfId="0" applyBorder="1">
      <alignment vertical="center"/>
    </xf>
    <xf numFmtId="0" fontId="4" fillId="0" borderId="0" xfId="0" applyFont="1">
      <alignment vertical="center"/>
    </xf>
    <xf numFmtId="0" fontId="7" fillId="2" borderId="11" xfId="0" applyFont="1" applyFill="1" applyBorder="1" applyAlignment="1">
      <alignment horizontal="center" vertical="center" wrapText="1"/>
    </xf>
    <xf numFmtId="178" fontId="2" fillId="5" borderId="12" xfId="0" applyNumberFormat="1" applyFont="1" applyFill="1" applyBorder="1">
      <alignment vertical="center"/>
    </xf>
    <xf numFmtId="0" fontId="2" fillId="6" borderId="12" xfId="0" applyFont="1" applyFill="1" applyBorder="1">
      <alignment vertical="center"/>
    </xf>
    <xf numFmtId="0" fontId="7" fillId="7" borderId="7" xfId="0" applyFont="1" applyFill="1" applyBorder="1" applyAlignment="1">
      <alignment horizontal="center" vertical="center"/>
    </xf>
    <xf numFmtId="0" fontId="4" fillId="0" borderId="5" xfId="0" applyFont="1" applyBorder="1" applyAlignment="1">
      <alignment vertical="center" wrapText="1"/>
    </xf>
    <xf numFmtId="178" fontId="2" fillId="5" borderId="13" xfId="0" applyNumberFormat="1" applyFont="1" applyFill="1" applyBorder="1">
      <alignment vertical="center"/>
    </xf>
    <xf numFmtId="0" fontId="7" fillId="2" borderId="9" xfId="0" applyFont="1" applyFill="1" applyBorder="1" applyAlignment="1">
      <alignment horizontal="center" vertical="center"/>
    </xf>
    <xf numFmtId="0" fontId="2" fillId="0" borderId="12" xfId="0" applyFont="1" applyFill="1" applyBorder="1">
      <alignment vertical="center"/>
    </xf>
    <xf numFmtId="0" fontId="2" fillId="0" borderId="13" xfId="0" applyFont="1" applyFill="1" applyBorder="1">
      <alignment vertical="center"/>
    </xf>
    <xf numFmtId="49" fontId="2" fillId="0" borderId="12" xfId="0" applyNumberFormat="1" applyFont="1" applyFill="1" applyBorder="1">
      <alignment vertical="center"/>
    </xf>
    <xf numFmtId="49" fontId="2" fillId="0" borderId="13" xfId="0" applyNumberFormat="1" applyFont="1" applyFill="1" applyBorder="1">
      <alignment vertical="center"/>
    </xf>
    <xf numFmtId="179" fontId="2" fillId="0" borderId="12" xfId="0" applyNumberFormat="1" applyFont="1" applyFill="1" applyBorder="1">
      <alignment vertical="center"/>
    </xf>
    <xf numFmtId="0" fontId="2" fillId="0" borderId="15" xfId="0" applyFont="1" applyFill="1" applyBorder="1">
      <alignment vertical="center"/>
    </xf>
    <xf numFmtId="0" fontId="2" fillId="5" borderId="15" xfId="0" applyFont="1" applyFill="1" applyBorder="1">
      <alignment vertical="center"/>
    </xf>
    <xf numFmtId="0" fontId="2" fillId="6" borderId="15" xfId="0" applyFont="1" applyFill="1" applyBorder="1">
      <alignment vertical="center"/>
    </xf>
    <xf numFmtId="49" fontId="2" fillId="0" borderId="15" xfId="0" applyNumberFormat="1" applyFont="1" applyFill="1" applyBorder="1">
      <alignment vertical="center"/>
    </xf>
    <xf numFmtId="178" fontId="2" fillId="5" borderId="15" xfId="0" applyNumberFormat="1" applyFont="1" applyFill="1" applyBorder="1">
      <alignment vertical="center"/>
    </xf>
  </cellXfs>
  <cellStyles count="1">
    <cellStyle name="標準" xfId="0" builtinId="0"/>
  </cellStyles>
  <dxfs count="32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theme="4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</dxfs>
  <tableStyles count="0" defaultTableStyle="TableStyleMedium2" defaultPivotStyle="PivotStyleLight16"/>
  <colors>
    <mruColors>
      <color rgb="FF305496"/>
      <color rgb="FFFFFFD5"/>
      <color rgb="FFBDD7EE"/>
      <color rgb="FF4472C4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99C67-00DC-4BE5-8AE1-E3133059C566}">
  <sheetPr codeName="elements">
    <tabColor theme="7" tint="0.59999389629810485"/>
  </sheetPr>
  <dimension ref="A1:O2102"/>
  <sheetViews>
    <sheetView showGridLines="0" tabSelected="1" zoomScaleNormal="100" workbookViewId="0">
      <pane ySplit="1" topLeftCell="A2" activePane="bottomLeft" state="frozen"/>
      <selection activeCell="E5" sqref="E5"/>
      <selection pane="bottomLeft" activeCell="J19" sqref="J19"/>
    </sheetView>
  </sheetViews>
  <sheetFormatPr defaultRowHeight="13" x14ac:dyDescent="0.55000000000000004"/>
  <cols>
    <col min="1" max="2" width="8.6640625" style="23"/>
    <col min="3" max="3" width="12" style="23" customWidth="1"/>
    <col min="4" max="9" width="8.6640625" style="23"/>
    <col min="10" max="10" width="11.6640625" style="23" customWidth="1"/>
    <col min="11" max="11" width="19.58203125" style="23" customWidth="1"/>
    <col min="12" max="16384" width="8.6640625" style="23"/>
  </cols>
  <sheetData>
    <row r="1" spans="1:15" ht="26" x14ac:dyDescent="0.55000000000000004">
      <c r="A1" s="34" t="s">
        <v>69</v>
      </c>
      <c r="B1" s="19" t="s">
        <v>70</v>
      </c>
      <c r="C1" s="19" t="s">
        <v>71</v>
      </c>
      <c r="D1" s="19" t="s">
        <v>0</v>
      </c>
      <c r="E1" s="20" t="s">
        <v>1</v>
      </c>
      <c r="F1" s="20" t="s">
        <v>2</v>
      </c>
      <c r="G1" s="20" t="s">
        <v>3</v>
      </c>
      <c r="H1" s="37" t="s">
        <v>4</v>
      </c>
      <c r="I1" s="37" t="s">
        <v>5</v>
      </c>
      <c r="J1" s="19" t="s">
        <v>72</v>
      </c>
      <c r="K1" s="20" t="s">
        <v>6</v>
      </c>
      <c r="L1" s="19" t="s">
        <v>61</v>
      </c>
      <c r="M1" s="19" t="s">
        <v>61</v>
      </c>
      <c r="N1" s="21" t="s">
        <v>121</v>
      </c>
      <c r="O1" s="22" t="s">
        <v>73</v>
      </c>
    </row>
    <row r="2" spans="1:15" ht="15" x14ac:dyDescent="0.55000000000000004">
      <c r="A2" s="38" t="s">
        <v>170</v>
      </c>
      <c r="B2" s="38" t="s">
        <v>174</v>
      </c>
      <c r="C2" s="26" t="str">
        <f t="shared" ref="C2:C33" si="0">camel2snake(B2)</f>
        <v>product_no</v>
      </c>
      <c r="D2" s="38" t="s">
        <v>217</v>
      </c>
      <c r="E2" s="33"/>
      <c r="F2" s="42">
        <v>9</v>
      </c>
      <c r="G2" s="42">
        <v>10</v>
      </c>
      <c r="H2" s="33"/>
      <c r="I2" s="33"/>
      <c r="J2" s="40" t="s">
        <v>88</v>
      </c>
      <c r="K2" s="38" t="s">
        <v>109</v>
      </c>
      <c r="L2" s="26" t="str">
        <f>IFERROR(VLOOKUP(D2,ドメインタイプDATA,6,FALSE)&amp;"","")</f>
        <v>string</v>
      </c>
      <c r="M2" s="26" t="str">
        <f>IFERROR(VLOOKUP(D2,ドメインタイプDATA,7,FALSE)&amp;"","")</f>
        <v/>
      </c>
      <c r="N2" s="32">
        <f ca="1">COUNTIF(派生元項目KEY,A2)</f>
        <v>0</v>
      </c>
      <c r="O2" s="32">
        <f ca="1">COUNTIF(区分値項目KEY,A2)</f>
        <v>0</v>
      </c>
    </row>
    <row r="3" spans="1:15" ht="15" x14ac:dyDescent="0.55000000000000004">
      <c r="A3" s="38" t="s">
        <v>240</v>
      </c>
      <c r="B3" s="38" t="s">
        <v>86</v>
      </c>
      <c r="C3" s="26" t="str">
        <f t="shared" si="0"/>
        <v>price</v>
      </c>
      <c r="D3" s="38" t="s">
        <v>89</v>
      </c>
      <c r="E3" s="33"/>
      <c r="F3" s="33"/>
      <c r="G3" s="33"/>
      <c r="H3" s="38">
        <v>0</v>
      </c>
      <c r="I3" s="38"/>
      <c r="J3" s="40" t="s">
        <v>92</v>
      </c>
      <c r="K3" s="38" t="s">
        <v>110</v>
      </c>
      <c r="L3" s="26" t="str">
        <f>IFERROR(VLOOKUP(D3,ドメインタイプDATA,6,FALSE)&amp;"","")</f>
        <v>integer</v>
      </c>
      <c r="M3" s="26" t="str">
        <f>IFERROR(VLOOKUP(D3,ドメインタイプDATA,7,FALSE)&amp;"","")</f>
        <v/>
      </c>
      <c r="N3" s="32">
        <f ca="1">COUNTIF(派生元項目KEY,A3)</f>
        <v>1</v>
      </c>
      <c r="O3" s="32">
        <f ca="1">COUNTIF(区分値項目KEY,A3)</f>
        <v>0</v>
      </c>
    </row>
    <row r="4" spans="1:15" ht="15" x14ac:dyDescent="0.55000000000000004">
      <c r="A4" s="38" t="s">
        <v>85</v>
      </c>
      <c r="B4" s="38" t="s">
        <v>87</v>
      </c>
      <c r="C4" s="26" t="str">
        <f t="shared" si="0"/>
        <v>up</v>
      </c>
      <c r="D4" s="38" t="s">
        <v>91</v>
      </c>
      <c r="E4" s="33"/>
      <c r="F4" s="33"/>
      <c r="G4" s="33"/>
      <c r="H4" s="38">
        <v>-1000</v>
      </c>
      <c r="I4" s="38">
        <v>1000</v>
      </c>
      <c r="J4" s="40" t="s">
        <v>93</v>
      </c>
      <c r="K4" s="38" t="s">
        <v>111</v>
      </c>
      <c r="L4" s="26" t="str">
        <f>IFERROR(VLOOKUP(D4,ドメインタイプDATA,6,FALSE)&amp;"","")</f>
        <v>number</v>
      </c>
      <c r="M4" s="26" t="str">
        <f>IFERROR(VLOOKUP(D4,ドメインタイプDATA,7,FALSE)&amp;"","")</f>
        <v/>
      </c>
      <c r="N4" s="32">
        <f ca="1">COUNTIF(派生元項目KEY,A4)</f>
        <v>0</v>
      </c>
      <c r="O4" s="32">
        <f ca="1">COUNTIF(区分値項目KEY,A4)</f>
        <v>0</v>
      </c>
    </row>
    <row r="5" spans="1:15" ht="15" x14ac:dyDescent="0.55000000000000004">
      <c r="A5" s="38" t="s">
        <v>94</v>
      </c>
      <c r="B5" s="38" t="s">
        <v>203</v>
      </c>
      <c r="C5" s="26" t="str">
        <f t="shared" si="0"/>
        <v>registration_date</v>
      </c>
      <c r="D5" s="38" t="s">
        <v>90</v>
      </c>
      <c r="E5" s="33"/>
      <c r="F5" s="33"/>
      <c r="G5" s="33"/>
      <c r="H5" s="33"/>
      <c r="I5" s="33"/>
      <c r="J5" s="40" t="s">
        <v>95</v>
      </c>
      <c r="K5" s="38" t="s">
        <v>94</v>
      </c>
      <c r="L5" s="26" t="str">
        <f>IFERROR(VLOOKUP(D5,ドメインタイプDATA,6,FALSE)&amp;"","")</f>
        <v>string</v>
      </c>
      <c r="M5" s="26" t="str">
        <f>IFERROR(VLOOKUP(D5,ドメインタイプDATA,7,FALSE)&amp;"","")</f>
        <v>date</v>
      </c>
      <c r="N5" s="32">
        <f ca="1">COUNTIF(派生元項目KEY,A5)</f>
        <v>0</v>
      </c>
      <c r="O5" s="32">
        <f ca="1">COUNTIF(区分値項目KEY,A5)</f>
        <v>0</v>
      </c>
    </row>
    <row r="6" spans="1:15" ht="15" x14ac:dyDescent="0.55000000000000004">
      <c r="A6" s="38" t="s">
        <v>98</v>
      </c>
      <c r="B6" s="38" t="s">
        <v>99</v>
      </c>
      <c r="C6" s="26" t="str">
        <f t="shared" si="0"/>
        <v>product_kbn</v>
      </c>
      <c r="D6" s="38" t="s">
        <v>219</v>
      </c>
      <c r="E6" s="33"/>
      <c r="F6" s="42"/>
      <c r="G6" s="38"/>
      <c r="H6" s="33"/>
      <c r="I6" s="33"/>
      <c r="J6" s="40" t="s">
        <v>128</v>
      </c>
      <c r="K6" s="38" t="s">
        <v>100</v>
      </c>
      <c r="L6" s="26" t="str">
        <f>IFERROR(VLOOKUP(D6,ドメインタイプDATA,6,FALSE)&amp;"","")</f>
        <v>string</v>
      </c>
      <c r="M6" s="26" t="str">
        <f>IFERROR(VLOOKUP(D6,ドメインタイプDATA,7,FALSE)&amp;"","")</f>
        <v/>
      </c>
      <c r="N6" s="32">
        <f ca="1">COUNTIF(派生元項目KEY,A6)</f>
        <v>0</v>
      </c>
      <c r="O6" s="32">
        <f ca="1">COUNTIF(区分値項目KEY,A6)</f>
        <v>4</v>
      </c>
    </row>
    <row r="7" spans="1:15" ht="15" x14ac:dyDescent="0.55000000000000004">
      <c r="A7" s="38" t="s">
        <v>113</v>
      </c>
      <c r="B7" s="38" t="s">
        <v>115</v>
      </c>
      <c r="C7" s="26" t="str">
        <f t="shared" si="0"/>
        <v>comment</v>
      </c>
      <c r="D7" s="38" t="s">
        <v>114</v>
      </c>
      <c r="E7" s="40"/>
      <c r="F7" s="42">
        <v>10</v>
      </c>
      <c r="G7" s="33"/>
      <c r="H7" s="33"/>
      <c r="I7" s="33"/>
      <c r="J7" s="40" t="s">
        <v>116</v>
      </c>
      <c r="K7" s="38" t="s">
        <v>113</v>
      </c>
      <c r="L7" s="26" t="str">
        <f>IFERROR(VLOOKUP(D7,ドメインタイプDATA,6,FALSE)&amp;"","")</f>
        <v>string</v>
      </c>
      <c r="M7" s="26" t="str">
        <f>IFERROR(VLOOKUP(D7,ドメインタイプDATA,7,FALSE)&amp;"","")</f>
        <v/>
      </c>
      <c r="N7" s="32">
        <f ca="1">COUNTIF(派生元項目KEY,A7)</f>
        <v>0</v>
      </c>
      <c r="O7" s="32">
        <f ca="1">COUNTIF(区分値項目KEY,A7)</f>
        <v>0</v>
      </c>
    </row>
    <row r="8" spans="1:15" ht="15" x14ac:dyDescent="0.55000000000000004">
      <c r="A8" s="38" t="s">
        <v>117</v>
      </c>
      <c r="B8" s="38" t="s">
        <v>123</v>
      </c>
      <c r="C8" s="26" t="str">
        <f t="shared" si="0"/>
        <v>can_update</v>
      </c>
      <c r="D8" s="38" t="s">
        <v>118</v>
      </c>
      <c r="E8" s="33"/>
      <c r="F8" s="33"/>
      <c r="G8" s="33"/>
      <c r="H8" s="33"/>
      <c r="I8" s="33"/>
      <c r="J8" s="40" t="s">
        <v>119</v>
      </c>
      <c r="K8" s="38" t="s">
        <v>120</v>
      </c>
      <c r="L8" s="26" t="str">
        <f>IFERROR(VLOOKUP(D8,ドメインタイプDATA,6,FALSE)&amp;"","")</f>
        <v>boolean</v>
      </c>
      <c r="M8" s="26" t="str">
        <f>IFERROR(VLOOKUP(D8,ドメインタイプDATA,7,FALSE)&amp;"","")</f>
        <v/>
      </c>
      <c r="N8" s="32">
        <f ca="1">COUNTIF(派生元項目KEY,A8)</f>
        <v>0</v>
      </c>
      <c r="O8" s="32">
        <f ca="1">COUNTIF(区分値項目KEY,A8)</f>
        <v>0</v>
      </c>
    </row>
    <row r="9" spans="1:15" ht="15" x14ac:dyDescent="0.55000000000000004">
      <c r="A9" s="38" t="s">
        <v>129</v>
      </c>
      <c r="B9" s="38" t="s">
        <v>192</v>
      </c>
      <c r="C9" s="26" t="str">
        <f t="shared" si="0"/>
        <v>department</v>
      </c>
      <c r="D9" s="38" t="s">
        <v>219</v>
      </c>
      <c r="E9" s="33"/>
      <c r="F9" s="42"/>
      <c r="G9" s="38"/>
      <c r="H9" s="33"/>
      <c r="I9" s="33"/>
      <c r="J9" s="40" t="s">
        <v>156</v>
      </c>
      <c r="K9" s="38" t="s">
        <v>129</v>
      </c>
      <c r="L9" s="26" t="str">
        <f>IFERROR(VLOOKUP(D9,ドメインタイプDATA,6,FALSE)&amp;"","")</f>
        <v>string</v>
      </c>
      <c r="M9" s="26" t="str">
        <f>IFERROR(VLOOKUP(D9,ドメインタイプDATA,7,FALSE)&amp;"","")</f>
        <v/>
      </c>
      <c r="N9" s="32">
        <f ca="1">COUNTIF(派生元項目KEY,A9)</f>
        <v>1</v>
      </c>
      <c r="O9" s="32">
        <f ca="1">COUNTIF(区分値項目KEY,A9)</f>
        <v>5</v>
      </c>
    </row>
    <row r="10" spans="1:15" ht="15" x14ac:dyDescent="0.55000000000000004">
      <c r="A10" s="38" t="s">
        <v>130</v>
      </c>
      <c r="B10" s="38" t="s">
        <v>137</v>
      </c>
      <c r="C10" s="26" t="str">
        <f t="shared" si="0"/>
        <v>order_date</v>
      </c>
      <c r="D10" s="38" t="s">
        <v>90</v>
      </c>
      <c r="E10" s="33"/>
      <c r="F10" s="33"/>
      <c r="G10" s="33"/>
      <c r="H10" s="33"/>
      <c r="I10" s="33"/>
      <c r="J10" s="40" t="s">
        <v>95</v>
      </c>
      <c r="K10" s="38" t="s">
        <v>130</v>
      </c>
      <c r="L10" s="26" t="str">
        <f>IFERROR(VLOOKUP(D10,ドメインタイプDATA,6,FALSE)&amp;"","")</f>
        <v>string</v>
      </c>
      <c r="M10" s="26" t="str">
        <f>IFERROR(VLOOKUP(D10,ドメインタイプDATA,7,FALSE)&amp;"","")</f>
        <v>date</v>
      </c>
      <c r="N10" s="32">
        <f ca="1">COUNTIF(派生元項目KEY,A10)</f>
        <v>0</v>
      </c>
      <c r="O10" s="32">
        <f ca="1">COUNTIF(区分値項目KEY,A10)</f>
        <v>0</v>
      </c>
    </row>
    <row r="11" spans="1:15" ht="15" x14ac:dyDescent="0.55000000000000004">
      <c r="A11" s="38" t="s">
        <v>131</v>
      </c>
      <c r="B11" s="38" t="s">
        <v>138</v>
      </c>
      <c r="C11" s="26" t="str">
        <f t="shared" si="0"/>
        <v>quantity</v>
      </c>
      <c r="D11" s="38" t="s">
        <v>89</v>
      </c>
      <c r="E11" s="33"/>
      <c r="F11" s="33"/>
      <c r="G11" s="33"/>
      <c r="H11" s="38">
        <v>0</v>
      </c>
      <c r="I11" s="38">
        <v>99999</v>
      </c>
      <c r="J11" s="40" t="s">
        <v>141</v>
      </c>
      <c r="K11" s="38" t="s">
        <v>131</v>
      </c>
      <c r="L11" s="26" t="str">
        <f>IFERROR(VLOOKUP(D11,ドメインタイプDATA,6,FALSE)&amp;"","")</f>
        <v>integer</v>
      </c>
      <c r="M11" s="26" t="str">
        <f>IFERROR(VLOOKUP(D11,ドメインタイプDATA,7,FALSE)&amp;"","")</f>
        <v/>
      </c>
      <c r="N11" s="32">
        <f ca="1">COUNTIF(派生元項目KEY,A11)</f>
        <v>0</v>
      </c>
      <c r="O11" s="32">
        <f ca="1">COUNTIF(区分値項目KEY,A11)</f>
        <v>0</v>
      </c>
    </row>
    <row r="12" spans="1:15" ht="15" x14ac:dyDescent="0.55000000000000004">
      <c r="A12" s="38" t="s">
        <v>171</v>
      </c>
      <c r="B12" s="38" t="s">
        <v>175</v>
      </c>
      <c r="C12" s="26" t="str">
        <f t="shared" si="0"/>
        <v>received_order_no</v>
      </c>
      <c r="D12" s="38" t="s">
        <v>217</v>
      </c>
      <c r="E12" s="33"/>
      <c r="F12" s="42">
        <v>10</v>
      </c>
      <c r="G12" s="42">
        <v>10</v>
      </c>
      <c r="H12" s="33"/>
      <c r="I12" s="33"/>
      <c r="J12" s="40" t="s">
        <v>142</v>
      </c>
      <c r="K12" s="38" t="s">
        <v>132</v>
      </c>
      <c r="L12" s="26" t="str">
        <f>IFERROR(VLOOKUP(D12,ドメインタイプDATA,6,FALSE)&amp;"","")</f>
        <v>string</v>
      </c>
      <c r="M12" s="26" t="str">
        <f>IFERROR(VLOOKUP(D12,ドメインタイプDATA,7,FALSE)&amp;"","")</f>
        <v/>
      </c>
      <c r="N12" s="32">
        <f ca="1">COUNTIF(派生元項目KEY,A12)</f>
        <v>0</v>
      </c>
      <c r="O12" s="32">
        <f ca="1">COUNTIF(区分値項目KEY,A12)</f>
        <v>0</v>
      </c>
    </row>
    <row r="13" spans="1:15" ht="15" x14ac:dyDescent="0.55000000000000004">
      <c r="A13" s="38" t="s">
        <v>133</v>
      </c>
      <c r="B13" s="38" t="s">
        <v>139</v>
      </c>
      <c r="C13" s="26" t="str">
        <f t="shared" si="0"/>
        <v>order_detail_no</v>
      </c>
      <c r="D13" s="38" t="s">
        <v>134</v>
      </c>
      <c r="E13" s="33"/>
      <c r="F13" s="33"/>
      <c r="G13" s="33"/>
      <c r="H13" s="33"/>
      <c r="I13" s="33"/>
      <c r="J13" s="40" t="s">
        <v>143</v>
      </c>
      <c r="K13" s="38" t="s">
        <v>181</v>
      </c>
      <c r="L13" s="26" t="str">
        <f>IFERROR(VLOOKUP(D13,ドメインタイプDATA,6,FALSE)&amp;"","")</f>
        <v>integer</v>
      </c>
      <c r="M13" s="26" t="str">
        <f>IFERROR(VLOOKUP(D13,ドメインタイプDATA,7,FALSE)&amp;"","")</f>
        <v/>
      </c>
      <c r="N13" s="32">
        <f ca="1">COUNTIF(派生元項目KEY,A13)</f>
        <v>0</v>
      </c>
      <c r="O13" s="32">
        <f ca="1">COUNTIF(区分値項目KEY,A13)</f>
        <v>0</v>
      </c>
    </row>
    <row r="14" spans="1:15" ht="15" x14ac:dyDescent="0.55000000000000004">
      <c r="A14" s="38" t="s">
        <v>135</v>
      </c>
      <c r="B14" s="38" t="s">
        <v>176</v>
      </c>
      <c r="C14" s="26" t="str">
        <f t="shared" si="0"/>
        <v>person_in_charge</v>
      </c>
      <c r="D14" s="38" t="s">
        <v>144</v>
      </c>
      <c r="E14" s="40"/>
      <c r="F14" s="42"/>
      <c r="G14" s="42">
        <v>30</v>
      </c>
      <c r="H14" s="33"/>
      <c r="I14" s="33"/>
      <c r="J14" s="40" t="s">
        <v>145</v>
      </c>
      <c r="K14" s="38" t="s">
        <v>146</v>
      </c>
      <c r="L14" s="26" t="str">
        <f>IFERROR(VLOOKUP(D14,ドメインタイプDATA,6,FALSE)&amp;"","")</f>
        <v>string</v>
      </c>
      <c r="M14" s="26" t="str">
        <f>IFERROR(VLOOKUP(D14,ドメインタイプDATA,7,FALSE)&amp;"","")</f>
        <v/>
      </c>
      <c r="N14" s="32">
        <f ca="1">COUNTIF(派生元項目KEY,A14)</f>
        <v>0</v>
      </c>
      <c r="O14" s="32">
        <f ca="1">COUNTIF(区分値項目KEY,A14)</f>
        <v>0</v>
      </c>
    </row>
    <row r="15" spans="1:15" ht="15" x14ac:dyDescent="0.55000000000000004">
      <c r="A15" s="38" t="s">
        <v>136</v>
      </c>
      <c r="B15" s="38" t="s">
        <v>140</v>
      </c>
      <c r="C15" s="26" t="str">
        <f t="shared" si="0"/>
        <v>user_id</v>
      </c>
      <c r="D15" s="38" t="s">
        <v>217</v>
      </c>
      <c r="E15" s="33"/>
      <c r="F15" s="42">
        <v>4</v>
      </c>
      <c r="G15" s="42">
        <v>4</v>
      </c>
      <c r="H15" s="33"/>
      <c r="I15" s="33"/>
      <c r="J15" s="40" t="s">
        <v>220</v>
      </c>
      <c r="K15" s="38" t="s">
        <v>147</v>
      </c>
      <c r="L15" s="26" t="str">
        <f>IFERROR(VLOOKUP(D15,ドメインタイプDATA,6,FALSE)&amp;"","")</f>
        <v>string</v>
      </c>
      <c r="M15" s="26" t="str">
        <f>IFERROR(VLOOKUP(D15,ドメインタイプDATA,7,FALSE)&amp;"","")</f>
        <v/>
      </c>
      <c r="N15" s="32">
        <f ca="1">COUNTIF(派生元項目KEY,A15)</f>
        <v>2</v>
      </c>
      <c r="O15" s="32">
        <f ca="1">COUNTIF(区分値項目KEY,A15)</f>
        <v>0</v>
      </c>
    </row>
    <row r="16" spans="1:15" ht="15" x14ac:dyDescent="0.55000000000000004">
      <c r="A16" s="38" t="s">
        <v>215</v>
      </c>
      <c r="B16" s="38" t="s">
        <v>177</v>
      </c>
      <c r="C16" s="26" t="str">
        <f t="shared" si="0"/>
        <v>product_name</v>
      </c>
      <c r="D16" s="38" t="s">
        <v>144</v>
      </c>
      <c r="E16" s="40"/>
      <c r="F16" s="42"/>
      <c r="G16" s="42">
        <v>100</v>
      </c>
      <c r="H16" s="33"/>
      <c r="I16" s="33"/>
      <c r="J16" s="40" t="s">
        <v>182</v>
      </c>
      <c r="K16" s="38" t="s">
        <v>183</v>
      </c>
      <c r="L16" s="26" t="str">
        <f>IFERROR(VLOOKUP(D16,ドメインタイプDATA,6,FALSE)&amp;"","")</f>
        <v>string</v>
      </c>
      <c r="M16" s="26" t="str">
        <f>IFERROR(VLOOKUP(D16,ドメインタイプDATA,7,FALSE)&amp;"","")</f>
        <v/>
      </c>
      <c r="N16" s="32">
        <f ca="1">COUNTIF(派生元項目KEY,A16)</f>
        <v>0</v>
      </c>
      <c r="O16" s="32">
        <f ca="1">COUNTIF(区分値項目KEY,A16)</f>
        <v>0</v>
      </c>
    </row>
    <row r="17" spans="1:15" ht="15" x14ac:dyDescent="0.55000000000000004">
      <c r="A17" s="38" t="s">
        <v>168</v>
      </c>
      <c r="B17" s="38" t="s">
        <v>238</v>
      </c>
      <c r="C17" s="26" t="str">
        <f t="shared" si="0"/>
        <v>customer_id</v>
      </c>
      <c r="D17" s="38" t="s">
        <v>217</v>
      </c>
      <c r="E17" s="33"/>
      <c r="F17" s="42">
        <v>3</v>
      </c>
      <c r="G17" s="42">
        <v>3</v>
      </c>
      <c r="H17" s="33"/>
      <c r="I17" s="33"/>
      <c r="J17" s="40" t="s">
        <v>184</v>
      </c>
      <c r="K17" s="38" t="s">
        <v>185</v>
      </c>
      <c r="L17" s="26" t="str">
        <f>IFERROR(VLOOKUP(D17,ドメインタイプDATA,6,FALSE)&amp;"","")</f>
        <v>string</v>
      </c>
      <c r="M17" s="26" t="str">
        <f>IFERROR(VLOOKUP(D17,ドメインタイプDATA,7,FALSE)&amp;"","")</f>
        <v/>
      </c>
      <c r="N17" s="32">
        <f ca="1">COUNTIF(派生元項目KEY,A17)</f>
        <v>0</v>
      </c>
      <c r="O17" s="32">
        <f ca="1">COUNTIF(区分値項目KEY,A17)</f>
        <v>0</v>
      </c>
    </row>
    <row r="18" spans="1:15" ht="15" x14ac:dyDescent="0.55000000000000004">
      <c r="A18" s="38" t="s">
        <v>216</v>
      </c>
      <c r="B18" s="38" t="s">
        <v>237</v>
      </c>
      <c r="C18" s="26" t="str">
        <f t="shared" si="0"/>
        <v>customer_name</v>
      </c>
      <c r="D18" s="38" t="s">
        <v>144</v>
      </c>
      <c r="E18" s="40"/>
      <c r="F18" s="42"/>
      <c r="G18" s="42">
        <v>100</v>
      </c>
      <c r="H18" s="33"/>
      <c r="I18" s="33"/>
      <c r="J18" s="40" t="s">
        <v>186</v>
      </c>
      <c r="K18" s="38" t="s">
        <v>187</v>
      </c>
      <c r="L18" s="26" t="str">
        <f>IFERROR(VLOOKUP(D18,ドメインタイプDATA,6,FALSE)&amp;"","")</f>
        <v>string</v>
      </c>
      <c r="M18" s="26" t="str">
        <f>IFERROR(VLOOKUP(D18,ドメインタイプDATA,7,FALSE)&amp;"","")</f>
        <v/>
      </c>
      <c r="N18" s="32">
        <f ca="1">COUNTIF(派生元項目KEY,A18)</f>
        <v>0</v>
      </c>
      <c r="O18" s="32">
        <f ca="1">COUNTIF(区分値項目KEY,A18)</f>
        <v>0</v>
      </c>
    </row>
    <row r="19" spans="1:15" ht="15" x14ac:dyDescent="0.55000000000000004">
      <c r="A19" s="38" t="s">
        <v>169</v>
      </c>
      <c r="B19" s="38" t="s">
        <v>178</v>
      </c>
      <c r="C19" s="26" t="str">
        <f t="shared" si="0"/>
        <v>is_working</v>
      </c>
      <c r="D19" s="38" t="s">
        <v>118</v>
      </c>
      <c r="E19" s="33"/>
      <c r="F19" s="33"/>
      <c r="G19" s="33"/>
      <c r="H19" s="33"/>
      <c r="I19" s="33"/>
      <c r="J19" s="40" t="s">
        <v>188</v>
      </c>
      <c r="K19" s="38" t="s">
        <v>189</v>
      </c>
      <c r="L19" s="26" t="str">
        <f>IFERROR(VLOOKUP(D19,ドメインタイプDATA,6,FALSE)&amp;"","")</f>
        <v>boolean</v>
      </c>
      <c r="M19" s="26" t="str">
        <f>IFERROR(VLOOKUP(D19,ドメインタイプDATA,7,FALSE)&amp;"","")</f>
        <v/>
      </c>
      <c r="N19" s="32">
        <f ca="1">COUNTIF(派生元項目KEY,A19)</f>
        <v>0</v>
      </c>
      <c r="O19" s="32">
        <f ca="1">COUNTIF(区分値項目KEY,A19)</f>
        <v>0</v>
      </c>
    </row>
    <row r="20" spans="1:15" ht="15" x14ac:dyDescent="0.55000000000000004">
      <c r="A20" s="38" t="s">
        <v>172</v>
      </c>
      <c r="B20" s="38" t="s">
        <v>179</v>
      </c>
      <c r="C20" s="26" t="str">
        <f t="shared" si="0"/>
        <v>profit_rate</v>
      </c>
      <c r="D20" s="38" t="s">
        <v>91</v>
      </c>
      <c r="E20" s="33"/>
      <c r="F20" s="33"/>
      <c r="G20" s="33"/>
      <c r="H20" s="38"/>
      <c r="I20" s="38">
        <v>10</v>
      </c>
      <c r="J20" s="40" t="s">
        <v>190</v>
      </c>
      <c r="K20" s="38" t="s">
        <v>172</v>
      </c>
      <c r="L20" s="26" t="str">
        <f>IFERROR(VLOOKUP(D20,ドメインタイプDATA,6,FALSE)&amp;"","")</f>
        <v>number</v>
      </c>
      <c r="M20" s="26" t="str">
        <f>IFERROR(VLOOKUP(D20,ドメインタイプDATA,7,FALSE)&amp;"","")</f>
        <v/>
      </c>
      <c r="N20" s="32">
        <f ca="1">COUNTIF(派生元項目KEY,A20)</f>
        <v>0</v>
      </c>
      <c r="O20" s="32">
        <f ca="1">COUNTIF(区分値項目KEY,A20)</f>
        <v>0</v>
      </c>
    </row>
    <row r="21" spans="1:15" ht="15" x14ac:dyDescent="0.55000000000000004">
      <c r="A21" s="38" t="s">
        <v>173</v>
      </c>
      <c r="B21" s="38" t="s">
        <v>180</v>
      </c>
      <c r="C21" s="26" t="str">
        <f t="shared" si="0"/>
        <v>exclude_report</v>
      </c>
      <c r="D21" s="38" t="s">
        <v>118</v>
      </c>
      <c r="E21" s="33"/>
      <c r="F21" s="33"/>
      <c r="G21" s="33"/>
      <c r="H21" s="33"/>
      <c r="I21" s="33"/>
      <c r="J21" s="40" t="s">
        <v>188</v>
      </c>
      <c r="K21" s="38" t="s">
        <v>191</v>
      </c>
      <c r="L21" s="26" t="str">
        <f>IFERROR(VLOOKUP(D21,ドメインタイプDATA,6,FALSE)&amp;"","")</f>
        <v>boolean</v>
      </c>
      <c r="M21" s="26" t="str">
        <f>IFERROR(VLOOKUP(D21,ドメインタイプDATA,7,FALSE)&amp;"","")</f>
        <v/>
      </c>
      <c r="N21" s="32">
        <f ca="1">COUNTIF(派生元項目KEY,A21)</f>
        <v>0</v>
      </c>
      <c r="O21" s="32">
        <f ca="1">COUNTIF(区分値項目KEY,A21)</f>
        <v>0</v>
      </c>
    </row>
    <row r="22" spans="1:15" ht="15" x14ac:dyDescent="0.55000000000000004">
      <c r="A22" s="38" t="s">
        <v>196</v>
      </c>
      <c r="B22" s="38" t="s">
        <v>200</v>
      </c>
      <c r="C22" s="26" t="str">
        <f t="shared" si="0"/>
        <v>shipping_time</v>
      </c>
      <c r="D22" s="38" t="s">
        <v>197</v>
      </c>
      <c r="E22" s="40" t="s">
        <v>236</v>
      </c>
      <c r="F22" s="33"/>
      <c r="G22" s="33"/>
      <c r="H22" s="33"/>
      <c r="I22" s="33"/>
      <c r="J22" s="40" t="s">
        <v>198</v>
      </c>
      <c r="K22" s="38" t="s">
        <v>199</v>
      </c>
      <c r="L22" s="26" t="str">
        <f>IFERROR(VLOOKUP(D22,ドメインタイプDATA,6,FALSE)&amp;"","")</f>
        <v>string</v>
      </c>
      <c r="M22" s="26" t="str">
        <f>IFERROR(VLOOKUP(D22,ドメインタイプDATA,7,FALSE)&amp;"","")</f>
        <v/>
      </c>
      <c r="N22" s="32">
        <f ca="1">COUNTIF(派生元項目KEY,A22)</f>
        <v>0</v>
      </c>
      <c r="O22" s="32">
        <f ca="1">COUNTIF(区分値項目KEY,A22)</f>
        <v>0</v>
      </c>
    </row>
    <row r="23" spans="1:15" ht="15" x14ac:dyDescent="0.55000000000000004">
      <c r="A23" s="38" t="s">
        <v>201</v>
      </c>
      <c r="B23" s="38" t="s">
        <v>204</v>
      </c>
      <c r="C23" s="26" t="str">
        <f t="shared" si="0"/>
        <v>is_active_customer</v>
      </c>
      <c r="D23" s="38" t="s">
        <v>118</v>
      </c>
      <c r="E23" s="33"/>
      <c r="F23" s="33"/>
      <c r="G23" s="33"/>
      <c r="H23" s="33"/>
      <c r="I23" s="33"/>
      <c r="J23" s="40" t="s">
        <v>188</v>
      </c>
      <c r="K23" s="38" t="s">
        <v>205</v>
      </c>
      <c r="L23" s="26" t="str">
        <f>IFERROR(VLOOKUP(D23,ドメインタイプDATA,6,FALSE)&amp;"","")</f>
        <v>boolean</v>
      </c>
      <c r="M23" s="26" t="str">
        <f>IFERROR(VLOOKUP(D23,ドメインタイプDATA,7,FALSE)&amp;"","")</f>
        <v/>
      </c>
      <c r="N23" s="32">
        <f ca="1">COUNTIF(派生元項目KEY,A23)</f>
        <v>0</v>
      </c>
      <c r="O23" s="32">
        <f ca="1">COUNTIF(区分値項目KEY,A23)</f>
        <v>0</v>
      </c>
    </row>
    <row r="24" spans="1:15" ht="15" x14ac:dyDescent="0.55000000000000004">
      <c r="A24" s="38" t="s">
        <v>202</v>
      </c>
      <c r="B24" s="38" t="s">
        <v>231</v>
      </c>
      <c r="C24" s="26" t="str">
        <f t="shared" si="0"/>
        <v>customer_type</v>
      </c>
      <c r="D24" s="38" t="s">
        <v>219</v>
      </c>
      <c r="E24" s="33"/>
      <c r="F24" s="42"/>
      <c r="G24" s="38"/>
      <c r="H24" s="33"/>
      <c r="I24" s="33"/>
      <c r="J24" s="40" t="s">
        <v>206</v>
      </c>
      <c r="K24" s="38" t="s">
        <v>207</v>
      </c>
      <c r="L24" s="26" t="str">
        <f>IFERROR(VLOOKUP(D24,ドメインタイプDATA,6,FALSE)&amp;"","")</f>
        <v>string</v>
      </c>
      <c r="M24" s="26" t="str">
        <f>IFERROR(VLOOKUP(D24,ドメインタイプDATA,7,FALSE)&amp;"","")</f>
        <v/>
      </c>
      <c r="N24" s="32">
        <f ca="1">COUNTIF(派生元項目KEY,A24)</f>
        <v>0</v>
      </c>
      <c r="O24" s="32">
        <f ca="1">COUNTIF(区分値項目KEY,A24)</f>
        <v>4</v>
      </c>
    </row>
    <row r="25" spans="1:15" ht="15" x14ac:dyDescent="0.55000000000000004">
      <c r="A25" s="38" t="s">
        <v>221</v>
      </c>
      <c r="B25" s="38" t="s">
        <v>224</v>
      </c>
      <c r="C25" s="26" t="str">
        <f t="shared" si="0"/>
        <v>approve_datetime</v>
      </c>
      <c r="D25" s="38" t="s">
        <v>226</v>
      </c>
      <c r="E25" s="33"/>
      <c r="F25" s="33"/>
      <c r="G25" s="33"/>
      <c r="H25" s="33"/>
      <c r="I25" s="33"/>
      <c r="J25" s="40" t="s">
        <v>227</v>
      </c>
      <c r="K25" s="38" t="s">
        <v>228</v>
      </c>
      <c r="L25" s="26" t="str">
        <f>IFERROR(VLOOKUP(D25,ドメインタイプDATA,6,FALSE)&amp;"","")</f>
        <v>string</v>
      </c>
      <c r="M25" s="26" t="str">
        <f>IFERROR(VLOOKUP(D25,ドメインタイプDATA,7,FALSE)&amp;"","")</f>
        <v>date-time</v>
      </c>
      <c r="N25" s="32">
        <f ca="1">COUNTIF(派生元項目KEY,A25)</f>
        <v>0</v>
      </c>
      <c r="O25" s="32">
        <f ca="1">COUNTIF(区分値項目KEY,A25)</f>
        <v>0</v>
      </c>
    </row>
    <row r="26" spans="1:15" ht="15" x14ac:dyDescent="0.55000000000000004">
      <c r="A26" s="38" t="s">
        <v>222</v>
      </c>
      <c r="B26" s="38" t="s">
        <v>225</v>
      </c>
      <c r="C26" s="26" t="str">
        <f t="shared" si="0"/>
        <v>emploee_no</v>
      </c>
      <c r="D26" s="38" t="s">
        <v>217</v>
      </c>
      <c r="E26" s="33"/>
      <c r="F26" s="42">
        <v>4</v>
      </c>
      <c r="G26" s="42">
        <v>4</v>
      </c>
      <c r="H26" s="33"/>
      <c r="I26" s="33"/>
      <c r="J26" s="40" t="s">
        <v>233</v>
      </c>
      <c r="K26" s="38" t="s">
        <v>222</v>
      </c>
      <c r="L26" s="26" t="str">
        <f>IFERROR(VLOOKUP(D26,ドメインタイプDATA,6,FALSE)&amp;"","")</f>
        <v>string</v>
      </c>
      <c r="M26" s="26" t="str">
        <f>IFERROR(VLOOKUP(D26,ドメインタイプDATA,7,FALSE)&amp;"","")</f>
        <v/>
      </c>
      <c r="N26" s="32">
        <f ca="1">COUNTIF(派生元項目KEY,A26)</f>
        <v>0</v>
      </c>
      <c r="O26" s="32">
        <f ca="1">COUNTIF(区分値項目KEY,A26)</f>
        <v>0</v>
      </c>
    </row>
    <row r="27" spans="1:15" ht="15" x14ac:dyDescent="0.55000000000000004">
      <c r="A27" s="43" t="s">
        <v>230</v>
      </c>
      <c r="B27" s="43" t="s">
        <v>232</v>
      </c>
      <c r="C27" s="44" t="str">
        <f t="shared" si="0"/>
        <v>log_id</v>
      </c>
      <c r="D27" s="43" t="s">
        <v>229</v>
      </c>
      <c r="E27" s="45"/>
      <c r="F27" s="45"/>
      <c r="G27" s="45"/>
      <c r="H27" s="45"/>
      <c r="I27" s="45"/>
      <c r="J27" s="46" t="s">
        <v>234</v>
      </c>
      <c r="K27" s="43" t="s">
        <v>235</v>
      </c>
      <c r="L27" s="44" t="str">
        <f>IFERROR(VLOOKUP(D27,ドメインタイプDATA,6,FALSE)&amp;"","")</f>
        <v>string</v>
      </c>
      <c r="M27" s="44" t="str">
        <f>IFERROR(VLOOKUP(D27,ドメインタイプDATA,7,FALSE)&amp;"","")</f>
        <v>uuid</v>
      </c>
      <c r="N27" s="47">
        <f ca="1">COUNTIF(派生元項目KEY,A27)</f>
        <v>0</v>
      </c>
      <c r="O27" s="47">
        <f ca="1">COUNTIF(区分値項目KEY,A27)</f>
        <v>0</v>
      </c>
    </row>
    <row r="28" spans="1:15" ht="15" x14ac:dyDescent="0.55000000000000004">
      <c r="A28" s="38"/>
      <c r="B28" s="38"/>
      <c r="C28" s="26" t="str">
        <f t="shared" ref="C28:C57" si="1">camel2snake(B28)</f>
        <v/>
      </c>
      <c r="D28" s="38"/>
      <c r="E28" s="38"/>
      <c r="F28" s="38"/>
      <c r="G28" s="38"/>
      <c r="H28" s="38"/>
      <c r="I28" s="38"/>
      <c r="J28" s="40"/>
      <c r="K28" s="38"/>
      <c r="L28" s="26" t="str">
        <f>IFERROR(VLOOKUP(D28,ドメインタイプDATA,6,FALSE)&amp;"","")</f>
        <v/>
      </c>
      <c r="M28" s="26" t="str">
        <f>IFERROR(VLOOKUP(D28,ドメインタイプDATA,7,FALSE)&amp;"","")</f>
        <v/>
      </c>
      <c r="N28" s="32">
        <f ca="1">COUNTIF(派生元項目KEY,A28)</f>
        <v>0</v>
      </c>
      <c r="O28" s="32">
        <f ca="1">COUNTIF(区分値項目KEY,A28)</f>
        <v>0</v>
      </c>
    </row>
    <row r="29" spans="1:15" ht="15" x14ac:dyDescent="0.55000000000000004">
      <c r="A29" s="38"/>
      <c r="B29" s="38"/>
      <c r="C29" s="26" t="str">
        <f t="shared" si="1"/>
        <v/>
      </c>
      <c r="D29" s="38"/>
      <c r="E29" s="38"/>
      <c r="F29" s="38"/>
      <c r="G29" s="38"/>
      <c r="H29" s="38"/>
      <c r="I29" s="38"/>
      <c r="J29" s="40"/>
      <c r="K29" s="38"/>
      <c r="L29" s="26" t="str">
        <f>IFERROR(VLOOKUP(D29,ドメインタイプDATA,6,FALSE)&amp;"","")</f>
        <v/>
      </c>
      <c r="M29" s="26" t="str">
        <f>IFERROR(VLOOKUP(D29,ドメインタイプDATA,7,FALSE)&amp;"","")</f>
        <v/>
      </c>
      <c r="N29" s="32">
        <f ca="1">COUNTIF(派生元項目KEY,A29)</f>
        <v>0</v>
      </c>
      <c r="O29" s="32">
        <f ca="1">COUNTIF(区分値項目KEY,A29)</f>
        <v>0</v>
      </c>
    </row>
    <row r="30" spans="1:15" ht="15" x14ac:dyDescent="0.55000000000000004">
      <c r="A30" s="38"/>
      <c r="B30" s="38"/>
      <c r="C30" s="26" t="str">
        <f t="shared" si="1"/>
        <v/>
      </c>
      <c r="D30" s="38"/>
      <c r="E30" s="38"/>
      <c r="F30" s="38"/>
      <c r="G30" s="38"/>
      <c r="H30" s="38"/>
      <c r="I30" s="38"/>
      <c r="J30" s="40"/>
      <c r="K30" s="38"/>
      <c r="L30" s="26" t="str">
        <f>IFERROR(VLOOKUP(D30,ドメインタイプDATA,6,FALSE)&amp;"","")</f>
        <v/>
      </c>
      <c r="M30" s="26" t="str">
        <f>IFERROR(VLOOKUP(D30,ドメインタイプDATA,7,FALSE)&amp;"","")</f>
        <v/>
      </c>
      <c r="N30" s="32">
        <f ca="1">COUNTIF(派生元項目KEY,A30)</f>
        <v>0</v>
      </c>
      <c r="O30" s="32">
        <f ca="1">COUNTIF(区分値項目KEY,A30)</f>
        <v>0</v>
      </c>
    </row>
    <row r="31" spans="1:15" ht="15" x14ac:dyDescent="0.55000000000000004">
      <c r="A31" s="38"/>
      <c r="B31" s="38"/>
      <c r="C31" s="26" t="str">
        <f t="shared" si="1"/>
        <v/>
      </c>
      <c r="D31" s="38"/>
      <c r="E31" s="38"/>
      <c r="F31" s="38"/>
      <c r="G31" s="38"/>
      <c r="H31" s="38"/>
      <c r="I31" s="38"/>
      <c r="J31" s="40"/>
      <c r="K31" s="38"/>
      <c r="L31" s="26" t="str">
        <f>IFERROR(VLOOKUP(D31,ドメインタイプDATA,6,FALSE)&amp;"","")</f>
        <v/>
      </c>
      <c r="M31" s="26" t="str">
        <f>IFERROR(VLOOKUP(D31,ドメインタイプDATA,7,FALSE)&amp;"","")</f>
        <v/>
      </c>
      <c r="N31" s="32">
        <f ca="1">COUNTIF(派生元項目KEY,A31)</f>
        <v>0</v>
      </c>
      <c r="O31" s="32">
        <f ca="1">COUNTIF(区分値項目KEY,A31)</f>
        <v>0</v>
      </c>
    </row>
    <row r="32" spans="1:15" ht="15" x14ac:dyDescent="0.55000000000000004">
      <c r="A32" s="38"/>
      <c r="B32" s="38"/>
      <c r="C32" s="26" t="str">
        <f t="shared" si="1"/>
        <v/>
      </c>
      <c r="D32" s="38"/>
      <c r="E32" s="38"/>
      <c r="F32" s="38"/>
      <c r="G32" s="38"/>
      <c r="H32" s="38"/>
      <c r="I32" s="38"/>
      <c r="J32" s="40"/>
      <c r="K32" s="38"/>
      <c r="L32" s="26" t="str">
        <f>IFERROR(VLOOKUP(D32,ドメインタイプDATA,6,FALSE)&amp;"","")</f>
        <v/>
      </c>
      <c r="M32" s="26" t="str">
        <f>IFERROR(VLOOKUP(D32,ドメインタイプDATA,7,FALSE)&amp;"","")</f>
        <v/>
      </c>
      <c r="N32" s="32">
        <f ca="1">COUNTIF(派生元項目KEY,A32)</f>
        <v>0</v>
      </c>
      <c r="O32" s="32">
        <f ca="1">COUNTIF(区分値項目KEY,A32)</f>
        <v>0</v>
      </c>
    </row>
    <row r="33" spans="1:15" ht="15" x14ac:dyDescent="0.55000000000000004">
      <c r="A33" s="38"/>
      <c r="B33" s="38"/>
      <c r="C33" s="26" t="str">
        <f t="shared" si="1"/>
        <v/>
      </c>
      <c r="D33" s="38"/>
      <c r="E33" s="38"/>
      <c r="F33" s="38"/>
      <c r="G33" s="38"/>
      <c r="H33" s="38"/>
      <c r="I33" s="38"/>
      <c r="J33" s="40"/>
      <c r="K33" s="38"/>
      <c r="L33" s="26" t="str">
        <f>IFERROR(VLOOKUP(D33,ドメインタイプDATA,6,FALSE)&amp;"","")</f>
        <v/>
      </c>
      <c r="M33" s="26" t="str">
        <f>IFERROR(VLOOKUP(D33,ドメインタイプDATA,7,FALSE)&amp;"","")</f>
        <v/>
      </c>
      <c r="N33" s="32">
        <f ca="1">COUNTIF(派生元項目KEY,A33)</f>
        <v>0</v>
      </c>
      <c r="O33" s="32">
        <f ca="1">COUNTIF(区分値項目KEY,A33)</f>
        <v>0</v>
      </c>
    </row>
    <row r="34" spans="1:15" ht="15" x14ac:dyDescent="0.55000000000000004">
      <c r="A34" s="38"/>
      <c r="B34" s="38"/>
      <c r="C34" s="26" t="str">
        <f t="shared" si="1"/>
        <v/>
      </c>
      <c r="D34" s="38"/>
      <c r="E34" s="38"/>
      <c r="F34" s="38"/>
      <c r="G34" s="38"/>
      <c r="H34" s="38"/>
      <c r="I34" s="38"/>
      <c r="J34" s="40"/>
      <c r="K34" s="38"/>
      <c r="L34" s="26" t="str">
        <f>IFERROR(VLOOKUP(D34,ドメインタイプDATA,6,FALSE)&amp;"","")</f>
        <v/>
      </c>
      <c r="M34" s="26" t="str">
        <f>IFERROR(VLOOKUP(D34,ドメインタイプDATA,7,FALSE)&amp;"","")</f>
        <v/>
      </c>
      <c r="N34" s="32">
        <f ca="1">COUNTIF(派生元項目KEY,A34)</f>
        <v>0</v>
      </c>
      <c r="O34" s="32">
        <f ca="1">COUNTIF(区分値項目KEY,A34)</f>
        <v>0</v>
      </c>
    </row>
    <row r="35" spans="1:15" ht="15" x14ac:dyDescent="0.55000000000000004">
      <c r="A35" s="38"/>
      <c r="B35" s="38"/>
      <c r="C35" s="26" t="str">
        <f t="shared" si="1"/>
        <v/>
      </c>
      <c r="D35" s="38"/>
      <c r="E35" s="38"/>
      <c r="F35" s="38"/>
      <c r="G35" s="38"/>
      <c r="H35" s="38"/>
      <c r="I35" s="38"/>
      <c r="J35" s="40"/>
      <c r="K35" s="38"/>
      <c r="L35" s="26" t="str">
        <f>IFERROR(VLOOKUP(D35,ドメインタイプDATA,6,FALSE)&amp;"","")</f>
        <v/>
      </c>
      <c r="M35" s="26" t="str">
        <f>IFERROR(VLOOKUP(D35,ドメインタイプDATA,7,FALSE)&amp;"","")</f>
        <v/>
      </c>
      <c r="N35" s="32">
        <f ca="1">COUNTIF(派生元項目KEY,A35)</f>
        <v>0</v>
      </c>
      <c r="O35" s="32">
        <f ca="1">COUNTIF(区分値項目KEY,A35)</f>
        <v>0</v>
      </c>
    </row>
    <row r="36" spans="1:15" ht="15" x14ac:dyDescent="0.55000000000000004">
      <c r="A36" s="38"/>
      <c r="B36" s="38"/>
      <c r="C36" s="26" t="str">
        <f t="shared" si="1"/>
        <v/>
      </c>
      <c r="D36" s="38"/>
      <c r="E36" s="38"/>
      <c r="F36" s="38"/>
      <c r="G36" s="38"/>
      <c r="H36" s="38"/>
      <c r="I36" s="38"/>
      <c r="J36" s="40"/>
      <c r="K36" s="38"/>
      <c r="L36" s="26" t="str">
        <f>IFERROR(VLOOKUP(D36,ドメインタイプDATA,6,FALSE)&amp;"","")</f>
        <v/>
      </c>
      <c r="M36" s="26" t="str">
        <f>IFERROR(VLOOKUP(D36,ドメインタイプDATA,7,FALSE)&amp;"","")</f>
        <v/>
      </c>
      <c r="N36" s="32">
        <f ca="1">COUNTIF(派生元項目KEY,A36)</f>
        <v>0</v>
      </c>
      <c r="O36" s="32">
        <f ca="1">COUNTIF(区分値項目KEY,A36)</f>
        <v>0</v>
      </c>
    </row>
    <row r="37" spans="1:15" ht="15" x14ac:dyDescent="0.55000000000000004">
      <c r="A37" s="38"/>
      <c r="B37" s="38"/>
      <c r="C37" s="26" t="str">
        <f t="shared" si="1"/>
        <v/>
      </c>
      <c r="D37" s="38"/>
      <c r="E37" s="38"/>
      <c r="F37" s="38"/>
      <c r="G37" s="38"/>
      <c r="H37" s="38"/>
      <c r="I37" s="38"/>
      <c r="J37" s="40"/>
      <c r="K37" s="38"/>
      <c r="L37" s="26" t="str">
        <f>IFERROR(VLOOKUP(D37,ドメインタイプDATA,6,FALSE)&amp;"","")</f>
        <v/>
      </c>
      <c r="M37" s="26" t="str">
        <f>IFERROR(VLOOKUP(D37,ドメインタイプDATA,7,FALSE)&amp;"","")</f>
        <v/>
      </c>
      <c r="N37" s="32">
        <f ca="1">COUNTIF(派生元項目KEY,A37)</f>
        <v>0</v>
      </c>
      <c r="O37" s="32">
        <f ca="1">COUNTIF(区分値項目KEY,A37)</f>
        <v>0</v>
      </c>
    </row>
    <row r="38" spans="1:15" ht="15" x14ac:dyDescent="0.55000000000000004">
      <c r="A38" s="38"/>
      <c r="B38" s="38"/>
      <c r="C38" s="26" t="str">
        <f t="shared" si="1"/>
        <v/>
      </c>
      <c r="D38" s="38"/>
      <c r="E38" s="38"/>
      <c r="F38" s="38"/>
      <c r="G38" s="38"/>
      <c r="H38" s="38"/>
      <c r="I38" s="38"/>
      <c r="J38" s="40"/>
      <c r="K38" s="38"/>
      <c r="L38" s="26" t="str">
        <f>IFERROR(VLOOKUP(D38,ドメインタイプDATA,6,FALSE)&amp;"","")</f>
        <v/>
      </c>
      <c r="M38" s="26" t="str">
        <f>IFERROR(VLOOKUP(D38,ドメインタイプDATA,7,FALSE)&amp;"","")</f>
        <v/>
      </c>
      <c r="N38" s="32">
        <f ca="1">COUNTIF(派生元項目KEY,A38)</f>
        <v>0</v>
      </c>
      <c r="O38" s="32">
        <f ca="1">COUNTIF(区分値項目KEY,A38)</f>
        <v>0</v>
      </c>
    </row>
    <row r="39" spans="1:15" ht="15" x14ac:dyDescent="0.55000000000000004">
      <c r="A39" s="38"/>
      <c r="B39" s="38"/>
      <c r="C39" s="26" t="str">
        <f t="shared" si="1"/>
        <v/>
      </c>
      <c r="D39" s="38"/>
      <c r="E39" s="38"/>
      <c r="F39" s="38"/>
      <c r="G39" s="38"/>
      <c r="H39" s="38"/>
      <c r="I39" s="38"/>
      <c r="J39" s="40"/>
      <c r="K39" s="38"/>
      <c r="L39" s="26" t="str">
        <f>IFERROR(VLOOKUP(D39,ドメインタイプDATA,6,FALSE)&amp;"","")</f>
        <v/>
      </c>
      <c r="M39" s="26" t="str">
        <f>IFERROR(VLOOKUP(D39,ドメインタイプDATA,7,FALSE)&amp;"","")</f>
        <v/>
      </c>
      <c r="N39" s="32">
        <f ca="1">COUNTIF(派生元項目KEY,A39)</f>
        <v>0</v>
      </c>
      <c r="O39" s="32">
        <f ca="1">COUNTIF(区分値項目KEY,A39)</f>
        <v>0</v>
      </c>
    </row>
    <row r="40" spans="1:15" ht="15" x14ac:dyDescent="0.55000000000000004">
      <c r="A40" s="38"/>
      <c r="B40" s="38"/>
      <c r="C40" s="26" t="str">
        <f t="shared" si="1"/>
        <v/>
      </c>
      <c r="D40" s="38"/>
      <c r="E40" s="38"/>
      <c r="F40" s="38"/>
      <c r="G40" s="38"/>
      <c r="H40" s="38"/>
      <c r="I40" s="38"/>
      <c r="J40" s="40"/>
      <c r="K40" s="38"/>
      <c r="L40" s="26" t="str">
        <f>IFERROR(VLOOKUP(D40,ドメインタイプDATA,6,FALSE)&amp;"","")</f>
        <v/>
      </c>
      <c r="M40" s="26" t="str">
        <f>IFERROR(VLOOKUP(D40,ドメインタイプDATA,7,FALSE)&amp;"","")</f>
        <v/>
      </c>
      <c r="N40" s="32">
        <f ca="1">COUNTIF(派生元項目KEY,A40)</f>
        <v>0</v>
      </c>
      <c r="O40" s="32">
        <f ca="1">COUNTIF(区分値項目KEY,A40)</f>
        <v>0</v>
      </c>
    </row>
    <row r="41" spans="1:15" ht="15" x14ac:dyDescent="0.55000000000000004">
      <c r="A41" s="38"/>
      <c r="B41" s="38"/>
      <c r="C41" s="26" t="str">
        <f t="shared" si="1"/>
        <v/>
      </c>
      <c r="D41" s="38"/>
      <c r="E41" s="38"/>
      <c r="F41" s="38"/>
      <c r="G41" s="38"/>
      <c r="H41" s="38"/>
      <c r="I41" s="38"/>
      <c r="J41" s="40"/>
      <c r="K41" s="38"/>
      <c r="L41" s="26" t="str">
        <f>IFERROR(VLOOKUP(D41,ドメインタイプDATA,6,FALSE)&amp;"","")</f>
        <v/>
      </c>
      <c r="M41" s="26" t="str">
        <f>IFERROR(VLOOKUP(D41,ドメインタイプDATA,7,FALSE)&amp;"","")</f>
        <v/>
      </c>
      <c r="N41" s="32">
        <f ca="1">COUNTIF(派生元項目KEY,A41)</f>
        <v>0</v>
      </c>
      <c r="O41" s="32">
        <f ca="1">COUNTIF(区分値項目KEY,A41)</f>
        <v>0</v>
      </c>
    </row>
    <row r="42" spans="1:15" ht="15" x14ac:dyDescent="0.55000000000000004">
      <c r="A42" s="38"/>
      <c r="B42" s="38"/>
      <c r="C42" s="26" t="str">
        <f t="shared" si="1"/>
        <v/>
      </c>
      <c r="D42" s="38"/>
      <c r="E42" s="38"/>
      <c r="F42" s="38"/>
      <c r="G42" s="38"/>
      <c r="H42" s="38"/>
      <c r="I42" s="38"/>
      <c r="J42" s="40"/>
      <c r="K42" s="38"/>
      <c r="L42" s="26" t="str">
        <f>IFERROR(VLOOKUP(D42,ドメインタイプDATA,6,FALSE)&amp;"","")</f>
        <v/>
      </c>
      <c r="M42" s="26" t="str">
        <f>IFERROR(VLOOKUP(D42,ドメインタイプDATA,7,FALSE)&amp;"","")</f>
        <v/>
      </c>
      <c r="N42" s="32">
        <f ca="1">COUNTIF(派生元項目KEY,A42)</f>
        <v>0</v>
      </c>
      <c r="O42" s="32">
        <f ca="1">COUNTIF(区分値項目KEY,A42)</f>
        <v>0</v>
      </c>
    </row>
    <row r="43" spans="1:15" ht="15" x14ac:dyDescent="0.55000000000000004">
      <c r="A43" s="38"/>
      <c r="B43" s="38"/>
      <c r="C43" s="26" t="str">
        <f t="shared" si="1"/>
        <v/>
      </c>
      <c r="D43" s="38"/>
      <c r="E43" s="38"/>
      <c r="F43" s="38"/>
      <c r="G43" s="38"/>
      <c r="H43" s="38"/>
      <c r="I43" s="38"/>
      <c r="J43" s="40"/>
      <c r="K43" s="38"/>
      <c r="L43" s="26" t="str">
        <f>IFERROR(VLOOKUP(D43,ドメインタイプDATA,6,FALSE)&amp;"","")</f>
        <v/>
      </c>
      <c r="M43" s="26" t="str">
        <f>IFERROR(VLOOKUP(D43,ドメインタイプDATA,7,FALSE)&amp;"","")</f>
        <v/>
      </c>
      <c r="N43" s="32">
        <f ca="1">COUNTIF(派生元項目KEY,A43)</f>
        <v>0</v>
      </c>
      <c r="O43" s="32">
        <f ca="1">COUNTIF(区分値項目KEY,A43)</f>
        <v>0</v>
      </c>
    </row>
    <row r="44" spans="1:15" ht="15" x14ac:dyDescent="0.55000000000000004">
      <c r="A44" s="38"/>
      <c r="B44" s="38"/>
      <c r="C44" s="26" t="str">
        <f t="shared" si="1"/>
        <v/>
      </c>
      <c r="D44" s="38"/>
      <c r="E44" s="38"/>
      <c r="F44" s="38"/>
      <c r="G44" s="38"/>
      <c r="H44" s="38"/>
      <c r="I44" s="38"/>
      <c r="J44" s="40"/>
      <c r="K44" s="38"/>
      <c r="L44" s="26" t="str">
        <f>IFERROR(VLOOKUP(D44,ドメインタイプDATA,6,FALSE)&amp;"","")</f>
        <v/>
      </c>
      <c r="M44" s="26" t="str">
        <f>IFERROR(VLOOKUP(D44,ドメインタイプDATA,7,FALSE)&amp;"","")</f>
        <v/>
      </c>
      <c r="N44" s="32">
        <f ca="1">COUNTIF(派生元項目KEY,A44)</f>
        <v>0</v>
      </c>
      <c r="O44" s="32">
        <f ca="1">COUNTIF(区分値項目KEY,A44)</f>
        <v>0</v>
      </c>
    </row>
    <row r="45" spans="1:15" ht="15" x14ac:dyDescent="0.55000000000000004">
      <c r="A45" s="38"/>
      <c r="B45" s="38"/>
      <c r="C45" s="26" t="str">
        <f t="shared" si="1"/>
        <v/>
      </c>
      <c r="D45" s="38"/>
      <c r="E45" s="38"/>
      <c r="F45" s="38"/>
      <c r="G45" s="38"/>
      <c r="H45" s="38"/>
      <c r="I45" s="38"/>
      <c r="J45" s="40"/>
      <c r="K45" s="38"/>
      <c r="L45" s="26" t="str">
        <f>IFERROR(VLOOKUP(D45,ドメインタイプDATA,6,FALSE)&amp;"","")</f>
        <v/>
      </c>
      <c r="M45" s="26" t="str">
        <f>IFERROR(VLOOKUP(D45,ドメインタイプDATA,7,FALSE)&amp;"","")</f>
        <v/>
      </c>
      <c r="N45" s="32">
        <f ca="1">COUNTIF(派生元項目KEY,A45)</f>
        <v>0</v>
      </c>
      <c r="O45" s="32">
        <f ca="1">COUNTIF(区分値項目KEY,A45)</f>
        <v>0</v>
      </c>
    </row>
    <row r="46" spans="1:15" ht="15" x14ac:dyDescent="0.55000000000000004">
      <c r="A46" s="38"/>
      <c r="B46" s="38"/>
      <c r="C46" s="26" t="str">
        <f t="shared" si="1"/>
        <v/>
      </c>
      <c r="D46" s="38"/>
      <c r="E46" s="38"/>
      <c r="F46" s="38"/>
      <c r="G46" s="38"/>
      <c r="H46" s="38"/>
      <c r="I46" s="38"/>
      <c r="J46" s="40"/>
      <c r="K46" s="38"/>
      <c r="L46" s="26" t="str">
        <f>IFERROR(VLOOKUP(D46,ドメインタイプDATA,6,FALSE)&amp;"","")</f>
        <v/>
      </c>
      <c r="M46" s="26" t="str">
        <f>IFERROR(VLOOKUP(D46,ドメインタイプDATA,7,FALSE)&amp;"","")</f>
        <v/>
      </c>
      <c r="N46" s="32">
        <f ca="1">COUNTIF(派生元項目KEY,A46)</f>
        <v>0</v>
      </c>
      <c r="O46" s="32">
        <f ca="1">COUNTIF(区分値項目KEY,A46)</f>
        <v>0</v>
      </c>
    </row>
    <row r="47" spans="1:15" ht="15" x14ac:dyDescent="0.55000000000000004">
      <c r="A47" s="38"/>
      <c r="B47" s="38"/>
      <c r="C47" s="26" t="str">
        <f t="shared" si="1"/>
        <v/>
      </c>
      <c r="D47" s="38"/>
      <c r="E47" s="38"/>
      <c r="F47" s="38"/>
      <c r="G47" s="38"/>
      <c r="H47" s="38"/>
      <c r="I47" s="38"/>
      <c r="J47" s="40"/>
      <c r="K47" s="38"/>
      <c r="L47" s="26" t="str">
        <f>IFERROR(VLOOKUP(D47,ドメインタイプDATA,6,FALSE)&amp;"","")</f>
        <v/>
      </c>
      <c r="M47" s="26" t="str">
        <f>IFERROR(VLOOKUP(D47,ドメインタイプDATA,7,FALSE)&amp;"","")</f>
        <v/>
      </c>
      <c r="N47" s="32">
        <f ca="1">COUNTIF(派生元項目KEY,A47)</f>
        <v>0</v>
      </c>
      <c r="O47" s="32">
        <f ca="1">COUNTIF(区分値項目KEY,A47)</f>
        <v>0</v>
      </c>
    </row>
    <row r="48" spans="1:15" ht="15" x14ac:dyDescent="0.55000000000000004">
      <c r="A48" s="38"/>
      <c r="B48" s="38"/>
      <c r="C48" s="26" t="str">
        <f t="shared" si="1"/>
        <v/>
      </c>
      <c r="D48" s="38"/>
      <c r="E48" s="38"/>
      <c r="F48" s="38"/>
      <c r="G48" s="38"/>
      <c r="H48" s="38"/>
      <c r="I48" s="38"/>
      <c r="J48" s="40"/>
      <c r="K48" s="38"/>
      <c r="L48" s="26" t="str">
        <f>IFERROR(VLOOKUP(D48,ドメインタイプDATA,6,FALSE)&amp;"","")</f>
        <v/>
      </c>
      <c r="M48" s="26" t="str">
        <f>IFERROR(VLOOKUP(D48,ドメインタイプDATA,7,FALSE)&amp;"","")</f>
        <v/>
      </c>
      <c r="N48" s="32">
        <f ca="1">COUNTIF(派生元項目KEY,A48)</f>
        <v>0</v>
      </c>
      <c r="O48" s="32">
        <f ca="1">COUNTIF(区分値項目KEY,A48)</f>
        <v>0</v>
      </c>
    </row>
    <row r="49" spans="1:15" ht="15" x14ac:dyDescent="0.55000000000000004">
      <c r="A49" s="38"/>
      <c r="B49" s="38"/>
      <c r="C49" s="26" t="str">
        <f t="shared" si="1"/>
        <v/>
      </c>
      <c r="D49" s="38"/>
      <c r="E49" s="38"/>
      <c r="F49" s="38"/>
      <c r="G49" s="38"/>
      <c r="H49" s="38"/>
      <c r="I49" s="38"/>
      <c r="J49" s="40"/>
      <c r="K49" s="38"/>
      <c r="L49" s="26" t="str">
        <f>IFERROR(VLOOKUP(D49,ドメインタイプDATA,6,FALSE)&amp;"","")</f>
        <v/>
      </c>
      <c r="M49" s="26" t="str">
        <f>IFERROR(VLOOKUP(D49,ドメインタイプDATA,7,FALSE)&amp;"","")</f>
        <v/>
      </c>
      <c r="N49" s="32">
        <f ca="1">COUNTIF(派生元項目KEY,A49)</f>
        <v>0</v>
      </c>
      <c r="O49" s="32">
        <f ca="1">COUNTIF(区分値項目KEY,A49)</f>
        <v>0</v>
      </c>
    </row>
    <row r="50" spans="1:15" ht="15" x14ac:dyDescent="0.55000000000000004">
      <c r="A50" s="38"/>
      <c r="B50" s="38"/>
      <c r="C50" s="26" t="str">
        <f t="shared" si="1"/>
        <v/>
      </c>
      <c r="D50" s="38"/>
      <c r="E50" s="38"/>
      <c r="F50" s="38"/>
      <c r="G50" s="38"/>
      <c r="H50" s="38"/>
      <c r="I50" s="38"/>
      <c r="J50" s="40"/>
      <c r="K50" s="38"/>
      <c r="L50" s="26" t="str">
        <f>IFERROR(VLOOKUP(D50,ドメインタイプDATA,6,FALSE)&amp;"","")</f>
        <v/>
      </c>
      <c r="M50" s="26" t="str">
        <f>IFERROR(VLOOKUP(D50,ドメインタイプDATA,7,FALSE)&amp;"","")</f>
        <v/>
      </c>
      <c r="N50" s="32">
        <f ca="1">COUNTIF(派生元項目KEY,A50)</f>
        <v>0</v>
      </c>
      <c r="O50" s="32">
        <f ca="1">COUNTIF(区分値項目KEY,A50)</f>
        <v>0</v>
      </c>
    </row>
    <row r="51" spans="1:15" ht="15" x14ac:dyDescent="0.55000000000000004">
      <c r="A51" s="38"/>
      <c r="B51" s="38"/>
      <c r="C51" s="26" t="str">
        <f t="shared" si="1"/>
        <v/>
      </c>
      <c r="D51" s="38"/>
      <c r="E51" s="38"/>
      <c r="F51" s="38"/>
      <c r="G51" s="38"/>
      <c r="H51" s="38"/>
      <c r="I51" s="38"/>
      <c r="J51" s="40"/>
      <c r="K51" s="38"/>
      <c r="L51" s="26" t="str">
        <f>IFERROR(VLOOKUP(D51,ドメインタイプDATA,6,FALSE)&amp;"","")</f>
        <v/>
      </c>
      <c r="M51" s="26" t="str">
        <f>IFERROR(VLOOKUP(D51,ドメインタイプDATA,7,FALSE)&amp;"","")</f>
        <v/>
      </c>
      <c r="N51" s="32">
        <f ca="1">COUNTIF(派生元項目KEY,A51)</f>
        <v>0</v>
      </c>
      <c r="O51" s="32">
        <f ca="1">COUNTIF(区分値項目KEY,A51)</f>
        <v>0</v>
      </c>
    </row>
    <row r="52" spans="1:15" ht="15" x14ac:dyDescent="0.55000000000000004">
      <c r="A52" s="38"/>
      <c r="B52" s="38"/>
      <c r="C52" s="26" t="str">
        <f t="shared" si="1"/>
        <v/>
      </c>
      <c r="D52" s="38"/>
      <c r="E52" s="38"/>
      <c r="F52" s="38"/>
      <c r="G52" s="38"/>
      <c r="H52" s="38"/>
      <c r="I52" s="38"/>
      <c r="J52" s="40"/>
      <c r="K52" s="38"/>
      <c r="L52" s="26" t="str">
        <f>IFERROR(VLOOKUP(D52,ドメインタイプDATA,6,FALSE)&amp;"","")</f>
        <v/>
      </c>
      <c r="M52" s="26" t="str">
        <f>IFERROR(VLOOKUP(D52,ドメインタイプDATA,7,FALSE)&amp;"","")</f>
        <v/>
      </c>
      <c r="N52" s="32">
        <f ca="1">COUNTIF(派生元項目KEY,A52)</f>
        <v>0</v>
      </c>
      <c r="O52" s="32">
        <f ca="1">COUNTIF(区分値項目KEY,A52)</f>
        <v>0</v>
      </c>
    </row>
    <row r="53" spans="1:15" ht="15" x14ac:dyDescent="0.55000000000000004">
      <c r="A53" s="38"/>
      <c r="B53" s="38"/>
      <c r="C53" s="26" t="str">
        <f t="shared" si="1"/>
        <v/>
      </c>
      <c r="D53" s="38"/>
      <c r="E53" s="38"/>
      <c r="F53" s="38"/>
      <c r="G53" s="38"/>
      <c r="H53" s="38"/>
      <c r="I53" s="38"/>
      <c r="J53" s="40"/>
      <c r="K53" s="38"/>
      <c r="L53" s="26" t="str">
        <f>IFERROR(VLOOKUP(D53,ドメインタイプDATA,6,FALSE)&amp;"","")</f>
        <v/>
      </c>
      <c r="M53" s="26" t="str">
        <f>IFERROR(VLOOKUP(D53,ドメインタイプDATA,7,FALSE)&amp;"","")</f>
        <v/>
      </c>
      <c r="N53" s="32">
        <f ca="1">COUNTIF(派生元項目KEY,A53)</f>
        <v>0</v>
      </c>
      <c r="O53" s="32">
        <f ca="1">COUNTIF(区分値項目KEY,A53)</f>
        <v>0</v>
      </c>
    </row>
    <row r="54" spans="1:15" ht="15" x14ac:dyDescent="0.55000000000000004">
      <c r="A54" s="38"/>
      <c r="B54" s="38"/>
      <c r="C54" s="26" t="str">
        <f t="shared" si="1"/>
        <v/>
      </c>
      <c r="D54" s="38"/>
      <c r="E54" s="38"/>
      <c r="F54" s="38"/>
      <c r="G54" s="38"/>
      <c r="H54" s="38"/>
      <c r="I54" s="38"/>
      <c r="J54" s="40"/>
      <c r="K54" s="38"/>
      <c r="L54" s="26" t="str">
        <f>IFERROR(VLOOKUP(D54,ドメインタイプDATA,6,FALSE)&amp;"","")</f>
        <v/>
      </c>
      <c r="M54" s="26" t="str">
        <f>IFERROR(VLOOKUP(D54,ドメインタイプDATA,7,FALSE)&amp;"","")</f>
        <v/>
      </c>
      <c r="N54" s="32">
        <f ca="1">COUNTIF(派生元項目KEY,A54)</f>
        <v>0</v>
      </c>
      <c r="O54" s="32">
        <f ca="1">COUNTIF(区分値項目KEY,A54)</f>
        <v>0</v>
      </c>
    </row>
    <row r="55" spans="1:15" ht="15" x14ac:dyDescent="0.55000000000000004">
      <c r="A55" s="38"/>
      <c r="B55" s="38"/>
      <c r="C55" s="26" t="str">
        <f t="shared" si="1"/>
        <v/>
      </c>
      <c r="D55" s="38"/>
      <c r="E55" s="38"/>
      <c r="F55" s="38"/>
      <c r="G55" s="38"/>
      <c r="H55" s="38"/>
      <c r="I55" s="38"/>
      <c r="J55" s="40"/>
      <c r="K55" s="38"/>
      <c r="L55" s="26" t="str">
        <f>IFERROR(VLOOKUP(D55,ドメインタイプDATA,6,FALSE)&amp;"","")</f>
        <v/>
      </c>
      <c r="M55" s="26" t="str">
        <f>IFERROR(VLOOKUP(D55,ドメインタイプDATA,7,FALSE)&amp;"","")</f>
        <v/>
      </c>
      <c r="N55" s="32">
        <f ca="1">COUNTIF(派生元項目KEY,A55)</f>
        <v>0</v>
      </c>
      <c r="O55" s="32">
        <f ca="1">COUNTIF(区分値項目KEY,A55)</f>
        <v>0</v>
      </c>
    </row>
    <row r="56" spans="1:15" ht="15" x14ac:dyDescent="0.55000000000000004">
      <c r="A56" s="38"/>
      <c r="B56" s="38"/>
      <c r="C56" s="26" t="str">
        <f t="shared" si="1"/>
        <v/>
      </c>
      <c r="D56" s="38"/>
      <c r="E56" s="38"/>
      <c r="F56" s="38"/>
      <c r="G56" s="38"/>
      <c r="H56" s="38"/>
      <c r="I56" s="38"/>
      <c r="J56" s="40"/>
      <c r="K56" s="38"/>
      <c r="L56" s="26" t="str">
        <f>IFERROR(VLOOKUP(D56,ドメインタイプDATA,6,FALSE)&amp;"","")</f>
        <v/>
      </c>
      <c r="M56" s="26" t="str">
        <f>IFERROR(VLOOKUP(D56,ドメインタイプDATA,7,FALSE)&amp;"","")</f>
        <v/>
      </c>
      <c r="N56" s="32">
        <f ca="1">COUNTIF(派生元項目KEY,A56)</f>
        <v>0</v>
      </c>
      <c r="O56" s="32">
        <f ca="1">COUNTIF(区分値項目KEY,A56)</f>
        <v>0</v>
      </c>
    </row>
    <row r="57" spans="1:15" ht="15" x14ac:dyDescent="0.55000000000000004">
      <c r="A57" s="39"/>
      <c r="B57" s="39"/>
      <c r="C57" s="27" t="str">
        <f t="shared" si="1"/>
        <v/>
      </c>
      <c r="D57" s="39"/>
      <c r="E57" s="39"/>
      <c r="F57" s="39"/>
      <c r="G57" s="39"/>
      <c r="H57" s="39"/>
      <c r="I57" s="39"/>
      <c r="J57" s="41"/>
      <c r="K57" s="39"/>
      <c r="L57" s="27" t="str">
        <f>IFERROR(VLOOKUP(D57,ドメインタイプDATA,6,FALSE)&amp;"","")</f>
        <v/>
      </c>
      <c r="M57" s="27" t="str">
        <f>IFERROR(VLOOKUP(D57,ドメインタイプDATA,7,FALSE)&amp;"","")</f>
        <v/>
      </c>
      <c r="N57" s="36">
        <f ca="1">COUNTIF(派生元項目KEY,A57)</f>
        <v>0</v>
      </c>
      <c r="O57" s="36">
        <f ca="1">COUNTIF(区分値項目KEY,A57)</f>
        <v>0</v>
      </c>
    </row>
    <row r="58" spans="1:15" ht="18" x14ac:dyDescent="0.55000000000000004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</row>
    <row r="59" spans="1:15" ht="18" x14ac:dyDescent="0.55000000000000004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</row>
    <row r="60" spans="1:15" ht="18" x14ac:dyDescent="0.55000000000000004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</row>
    <row r="61" spans="1:15" ht="18" x14ac:dyDescent="0.55000000000000004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</row>
    <row r="62" spans="1:15" ht="18" x14ac:dyDescent="0.55000000000000004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</row>
    <row r="63" spans="1:15" ht="18" x14ac:dyDescent="0.55000000000000004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</row>
    <row r="64" spans="1:15" ht="18" x14ac:dyDescent="0.55000000000000004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</row>
    <row r="65" spans="1:15" ht="18" x14ac:dyDescent="0.55000000000000004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</row>
    <row r="66" spans="1:15" ht="18" x14ac:dyDescent="0.55000000000000004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</row>
    <row r="67" spans="1:15" ht="18" x14ac:dyDescent="0.55000000000000004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</row>
    <row r="68" spans="1:15" ht="18" x14ac:dyDescent="0.55000000000000004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</row>
    <row r="69" spans="1:15" ht="18" x14ac:dyDescent="0.55000000000000004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</row>
    <row r="70" spans="1:15" ht="18" x14ac:dyDescent="0.55000000000000004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</row>
    <row r="71" spans="1:15" ht="18" x14ac:dyDescent="0.55000000000000004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</row>
    <row r="72" spans="1:15" ht="18" x14ac:dyDescent="0.55000000000000004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</row>
    <row r="73" spans="1:15" ht="18" x14ac:dyDescent="0.55000000000000004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</row>
    <row r="74" spans="1:15" ht="18" x14ac:dyDescent="0.55000000000000004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</row>
    <row r="75" spans="1:15" ht="18" x14ac:dyDescent="0.55000000000000004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</row>
    <row r="76" spans="1:15" ht="18" x14ac:dyDescent="0.55000000000000004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</row>
    <row r="77" spans="1:15" ht="18" x14ac:dyDescent="0.55000000000000004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</row>
    <row r="78" spans="1:15" ht="18" x14ac:dyDescent="0.55000000000000004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</row>
    <row r="79" spans="1:15" ht="18" x14ac:dyDescent="0.55000000000000004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</row>
    <row r="80" spans="1:15" ht="18" x14ac:dyDescent="0.55000000000000004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</row>
    <row r="81" spans="1:15" ht="18" x14ac:dyDescent="0.55000000000000004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</row>
    <row r="82" spans="1:15" ht="18" x14ac:dyDescent="0.55000000000000004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</row>
    <row r="83" spans="1:15" ht="18" x14ac:dyDescent="0.55000000000000004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</row>
    <row r="84" spans="1:15" ht="18" x14ac:dyDescent="0.55000000000000004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</row>
    <row r="85" spans="1:15" ht="18" x14ac:dyDescent="0.55000000000000004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</row>
    <row r="86" spans="1:15" ht="18" x14ac:dyDescent="0.55000000000000004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</row>
    <row r="87" spans="1:15" ht="18" x14ac:dyDescent="0.55000000000000004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</row>
    <row r="88" spans="1:15" ht="18" x14ac:dyDescent="0.55000000000000004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</row>
    <row r="89" spans="1:15" ht="18" x14ac:dyDescent="0.55000000000000004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</row>
    <row r="90" spans="1:15" ht="18" x14ac:dyDescent="0.55000000000000004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</row>
    <row r="91" spans="1:15" ht="18" x14ac:dyDescent="0.55000000000000004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</row>
    <row r="92" spans="1:15" ht="18" x14ac:dyDescent="0.55000000000000004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</row>
    <row r="93" spans="1:15" ht="18" x14ac:dyDescent="0.55000000000000004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</row>
    <row r="94" spans="1:15" ht="18" x14ac:dyDescent="0.55000000000000004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</row>
    <row r="95" spans="1:15" ht="18" x14ac:dyDescent="0.55000000000000004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</row>
    <row r="96" spans="1:15" ht="18" x14ac:dyDescent="0.55000000000000004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</row>
    <row r="97" spans="1:15" ht="18" x14ac:dyDescent="0.55000000000000004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</row>
    <row r="98" spans="1:15" ht="18" x14ac:dyDescent="0.55000000000000004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</row>
    <row r="99" spans="1:15" ht="18" x14ac:dyDescent="0.55000000000000004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</row>
    <row r="100" spans="1:15" ht="18" x14ac:dyDescent="0.55000000000000004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</row>
    <row r="101" spans="1:15" ht="18" x14ac:dyDescent="0.55000000000000004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</row>
    <row r="102" spans="1:15" ht="18" x14ac:dyDescent="0.55000000000000004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</row>
    <row r="103" spans="1:15" ht="18" x14ac:dyDescent="0.55000000000000004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</row>
    <row r="104" spans="1:15" ht="18" x14ac:dyDescent="0.55000000000000004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</row>
    <row r="105" spans="1:15" ht="18" x14ac:dyDescent="0.55000000000000004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</row>
    <row r="106" spans="1:15" ht="18" x14ac:dyDescent="0.55000000000000004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</row>
    <row r="107" spans="1:15" ht="18" x14ac:dyDescent="0.55000000000000004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</row>
    <row r="108" spans="1:15" ht="18" x14ac:dyDescent="0.55000000000000004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</row>
    <row r="109" spans="1:15" ht="18" x14ac:dyDescent="0.55000000000000004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</row>
    <row r="110" spans="1:15" ht="18" x14ac:dyDescent="0.55000000000000004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</row>
    <row r="111" spans="1:15" ht="18" x14ac:dyDescent="0.55000000000000004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</row>
    <row r="112" spans="1:15" ht="18" x14ac:dyDescent="0.55000000000000004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</row>
    <row r="113" spans="1:15" ht="18" x14ac:dyDescent="0.55000000000000004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</row>
    <row r="114" spans="1:15" ht="18" x14ac:dyDescent="0.55000000000000004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</row>
    <row r="115" spans="1:15" ht="18" x14ac:dyDescent="0.55000000000000004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</row>
    <row r="116" spans="1:15" ht="18" x14ac:dyDescent="0.55000000000000004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</row>
    <row r="117" spans="1:15" ht="18" x14ac:dyDescent="0.55000000000000004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</row>
    <row r="118" spans="1:15" ht="18" x14ac:dyDescent="0.55000000000000004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</row>
    <row r="119" spans="1:15" ht="18" x14ac:dyDescent="0.55000000000000004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</row>
    <row r="120" spans="1:15" ht="18" x14ac:dyDescent="0.55000000000000004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</row>
    <row r="121" spans="1:15" ht="18" x14ac:dyDescent="0.55000000000000004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</row>
    <row r="122" spans="1:15" ht="18" x14ac:dyDescent="0.55000000000000004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</row>
    <row r="123" spans="1:15" ht="18" x14ac:dyDescent="0.55000000000000004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</row>
    <row r="124" spans="1:15" ht="18" x14ac:dyDescent="0.55000000000000004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</row>
    <row r="125" spans="1:15" ht="18" x14ac:dyDescent="0.55000000000000004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</row>
    <row r="126" spans="1:15" ht="18" x14ac:dyDescent="0.55000000000000004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</row>
    <row r="127" spans="1:15" ht="18" x14ac:dyDescent="0.55000000000000004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</row>
    <row r="128" spans="1:15" ht="18" x14ac:dyDescent="0.55000000000000004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</row>
    <row r="129" spans="1:15" ht="18" x14ac:dyDescent="0.55000000000000004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</row>
    <row r="130" spans="1:15" ht="18" x14ac:dyDescent="0.55000000000000004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</row>
    <row r="131" spans="1:15" ht="18" x14ac:dyDescent="0.55000000000000004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</row>
    <row r="132" spans="1:15" ht="18" x14ac:dyDescent="0.55000000000000004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</row>
    <row r="133" spans="1:15" ht="18" x14ac:dyDescent="0.55000000000000004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</row>
    <row r="134" spans="1:15" ht="18" x14ac:dyDescent="0.55000000000000004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</row>
    <row r="135" spans="1:15" ht="18" x14ac:dyDescent="0.55000000000000004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</row>
    <row r="136" spans="1:15" ht="18" x14ac:dyDescent="0.55000000000000004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</row>
    <row r="137" spans="1:15" ht="18" x14ac:dyDescent="0.55000000000000004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</row>
    <row r="138" spans="1:15" ht="18" x14ac:dyDescent="0.55000000000000004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</row>
    <row r="139" spans="1:15" ht="18" x14ac:dyDescent="0.55000000000000004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</row>
    <row r="140" spans="1:15" ht="18" x14ac:dyDescent="0.55000000000000004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</row>
    <row r="141" spans="1:15" ht="18" x14ac:dyDescent="0.55000000000000004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</row>
    <row r="142" spans="1:15" ht="18" x14ac:dyDescent="0.55000000000000004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</row>
    <row r="143" spans="1:15" ht="18" x14ac:dyDescent="0.55000000000000004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</row>
    <row r="144" spans="1:15" ht="18" x14ac:dyDescent="0.55000000000000004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</row>
    <row r="145" spans="1:15" ht="18" x14ac:dyDescent="0.55000000000000004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</row>
    <row r="146" spans="1:15" ht="18" x14ac:dyDescent="0.55000000000000004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</row>
    <row r="147" spans="1:15" ht="18" x14ac:dyDescent="0.55000000000000004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</row>
    <row r="148" spans="1:15" ht="18" x14ac:dyDescent="0.55000000000000004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</row>
    <row r="149" spans="1:15" ht="18" x14ac:dyDescent="0.55000000000000004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</row>
    <row r="150" spans="1:15" ht="18" x14ac:dyDescent="0.55000000000000004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</row>
    <row r="151" spans="1:15" ht="18" x14ac:dyDescent="0.55000000000000004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</row>
    <row r="152" spans="1:15" ht="18" x14ac:dyDescent="0.55000000000000004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</row>
    <row r="153" spans="1:15" ht="18" x14ac:dyDescent="0.55000000000000004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</row>
    <row r="154" spans="1:15" ht="18" x14ac:dyDescent="0.55000000000000004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</row>
    <row r="155" spans="1:15" ht="18" x14ac:dyDescent="0.55000000000000004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</row>
    <row r="156" spans="1:15" ht="18" x14ac:dyDescent="0.55000000000000004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</row>
    <row r="157" spans="1:15" ht="18" x14ac:dyDescent="0.55000000000000004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</row>
    <row r="158" spans="1:15" ht="18" x14ac:dyDescent="0.55000000000000004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</row>
    <row r="159" spans="1:15" ht="18" x14ac:dyDescent="0.55000000000000004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</row>
    <row r="160" spans="1:15" ht="18" x14ac:dyDescent="0.55000000000000004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</row>
    <row r="161" spans="1:15" ht="18" x14ac:dyDescent="0.55000000000000004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</row>
    <row r="162" spans="1:15" ht="18" x14ac:dyDescent="0.55000000000000004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</row>
    <row r="163" spans="1:15" ht="18" x14ac:dyDescent="0.55000000000000004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</row>
    <row r="164" spans="1:15" ht="18" x14ac:dyDescent="0.55000000000000004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</row>
    <row r="165" spans="1:15" ht="18" x14ac:dyDescent="0.55000000000000004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</row>
    <row r="166" spans="1:15" ht="18" x14ac:dyDescent="0.55000000000000004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</row>
    <row r="167" spans="1:15" ht="18" x14ac:dyDescent="0.55000000000000004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</row>
    <row r="168" spans="1:15" ht="18" x14ac:dyDescent="0.55000000000000004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</row>
    <row r="169" spans="1:15" ht="18" x14ac:dyDescent="0.55000000000000004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</row>
    <row r="170" spans="1:15" ht="18" x14ac:dyDescent="0.55000000000000004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</row>
    <row r="171" spans="1:15" ht="18" x14ac:dyDescent="0.55000000000000004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</row>
    <row r="172" spans="1:15" ht="18" x14ac:dyDescent="0.55000000000000004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</row>
    <row r="173" spans="1:15" ht="18" x14ac:dyDescent="0.55000000000000004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</row>
    <row r="174" spans="1:15" ht="18" x14ac:dyDescent="0.55000000000000004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</row>
    <row r="175" spans="1:15" ht="18" x14ac:dyDescent="0.55000000000000004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</row>
    <row r="176" spans="1:15" ht="18" x14ac:dyDescent="0.55000000000000004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</row>
    <row r="177" spans="1:15" ht="18" x14ac:dyDescent="0.55000000000000004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</row>
    <row r="178" spans="1:15" ht="18" x14ac:dyDescent="0.55000000000000004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</row>
    <row r="179" spans="1:15" ht="18" x14ac:dyDescent="0.55000000000000004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</row>
    <row r="180" spans="1:15" ht="18" x14ac:dyDescent="0.55000000000000004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</row>
    <row r="181" spans="1:15" ht="18" x14ac:dyDescent="0.55000000000000004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</row>
    <row r="182" spans="1:15" ht="18" x14ac:dyDescent="0.55000000000000004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</row>
    <row r="183" spans="1:15" ht="18" x14ac:dyDescent="0.55000000000000004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</row>
    <row r="184" spans="1:15" ht="18" x14ac:dyDescent="0.55000000000000004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</row>
    <row r="185" spans="1:15" ht="18" x14ac:dyDescent="0.55000000000000004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</row>
    <row r="186" spans="1:15" ht="18" x14ac:dyDescent="0.55000000000000004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</row>
    <row r="187" spans="1:15" ht="18" x14ac:dyDescent="0.55000000000000004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</row>
    <row r="188" spans="1:15" ht="18" x14ac:dyDescent="0.55000000000000004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</row>
    <row r="189" spans="1:15" ht="18" x14ac:dyDescent="0.55000000000000004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</row>
    <row r="190" spans="1:15" ht="18" x14ac:dyDescent="0.55000000000000004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</row>
    <row r="191" spans="1:15" ht="18" x14ac:dyDescent="0.55000000000000004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</row>
    <row r="192" spans="1:15" ht="18" x14ac:dyDescent="0.55000000000000004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</row>
    <row r="193" spans="1:15" ht="18" x14ac:dyDescent="0.55000000000000004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</row>
    <row r="194" spans="1:15" ht="18" x14ac:dyDescent="0.55000000000000004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</row>
    <row r="195" spans="1:15" ht="18" x14ac:dyDescent="0.55000000000000004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</row>
    <row r="196" spans="1:15" ht="18" x14ac:dyDescent="0.55000000000000004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</row>
    <row r="197" spans="1:15" ht="18" x14ac:dyDescent="0.55000000000000004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</row>
    <row r="198" spans="1:15" ht="18" x14ac:dyDescent="0.55000000000000004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</row>
    <row r="199" spans="1:15" ht="18" x14ac:dyDescent="0.55000000000000004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</row>
    <row r="200" spans="1:15" ht="18" x14ac:dyDescent="0.55000000000000004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</row>
    <row r="201" spans="1:15" ht="18" x14ac:dyDescent="0.55000000000000004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</row>
    <row r="202" spans="1:15" ht="18" x14ac:dyDescent="0.55000000000000004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</row>
    <row r="203" spans="1:15" ht="18" x14ac:dyDescent="0.55000000000000004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</row>
    <row r="204" spans="1:15" ht="18" x14ac:dyDescent="0.55000000000000004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</row>
    <row r="205" spans="1:15" ht="18" x14ac:dyDescent="0.55000000000000004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</row>
    <row r="206" spans="1:15" ht="18" x14ac:dyDescent="0.55000000000000004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</row>
    <row r="207" spans="1:15" ht="18" x14ac:dyDescent="0.55000000000000004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</row>
    <row r="208" spans="1:15" ht="18" x14ac:dyDescent="0.55000000000000004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</row>
    <row r="209" spans="1:15" ht="18" x14ac:dyDescent="0.55000000000000004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</row>
    <row r="210" spans="1:15" ht="18" x14ac:dyDescent="0.55000000000000004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</row>
    <row r="211" spans="1:15" ht="18" x14ac:dyDescent="0.55000000000000004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</row>
    <row r="212" spans="1:15" ht="18" x14ac:dyDescent="0.55000000000000004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</row>
    <row r="213" spans="1:15" ht="18" x14ac:dyDescent="0.55000000000000004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</row>
    <row r="214" spans="1:15" ht="18" x14ac:dyDescent="0.55000000000000004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</row>
    <row r="215" spans="1:15" ht="18" x14ac:dyDescent="0.55000000000000004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</row>
    <row r="216" spans="1:15" ht="18" x14ac:dyDescent="0.55000000000000004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</row>
    <row r="217" spans="1:15" ht="18" x14ac:dyDescent="0.55000000000000004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</row>
    <row r="218" spans="1:15" ht="18" x14ac:dyDescent="0.55000000000000004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</row>
    <row r="219" spans="1:15" ht="18" x14ac:dyDescent="0.55000000000000004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</row>
    <row r="220" spans="1:15" ht="18" x14ac:dyDescent="0.55000000000000004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</row>
    <row r="221" spans="1:15" ht="18" x14ac:dyDescent="0.55000000000000004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</row>
    <row r="222" spans="1:15" ht="18" x14ac:dyDescent="0.55000000000000004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</row>
    <row r="223" spans="1:15" ht="18" x14ac:dyDescent="0.55000000000000004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</row>
    <row r="224" spans="1:15" ht="18" x14ac:dyDescent="0.55000000000000004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</row>
    <row r="225" spans="1:15" ht="18" x14ac:dyDescent="0.55000000000000004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</row>
    <row r="226" spans="1:15" ht="18" x14ac:dyDescent="0.55000000000000004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</row>
    <row r="227" spans="1:15" ht="18" x14ac:dyDescent="0.55000000000000004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</row>
    <row r="228" spans="1:15" ht="18" x14ac:dyDescent="0.55000000000000004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</row>
    <row r="229" spans="1:15" ht="18" x14ac:dyDescent="0.55000000000000004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</row>
    <row r="230" spans="1:15" ht="18" x14ac:dyDescent="0.55000000000000004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</row>
    <row r="231" spans="1:15" ht="18" x14ac:dyDescent="0.55000000000000004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</row>
    <row r="232" spans="1:15" ht="18" x14ac:dyDescent="0.55000000000000004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</row>
    <row r="233" spans="1:15" ht="18" x14ac:dyDescent="0.55000000000000004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</row>
    <row r="234" spans="1:15" ht="18" x14ac:dyDescent="0.55000000000000004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</row>
    <row r="235" spans="1:15" ht="18" x14ac:dyDescent="0.55000000000000004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</row>
    <row r="236" spans="1:15" ht="18" x14ac:dyDescent="0.55000000000000004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</row>
    <row r="237" spans="1:15" ht="18" x14ac:dyDescent="0.55000000000000004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</row>
    <row r="238" spans="1:15" ht="18" x14ac:dyDescent="0.55000000000000004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</row>
    <row r="239" spans="1:15" ht="18" x14ac:dyDescent="0.55000000000000004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</row>
    <row r="240" spans="1:15" ht="18" x14ac:dyDescent="0.55000000000000004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</row>
    <row r="241" spans="1:15" ht="18" x14ac:dyDescent="0.55000000000000004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</row>
    <row r="242" spans="1:15" ht="18" x14ac:dyDescent="0.55000000000000004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</row>
    <row r="243" spans="1:15" ht="18" x14ac:dyDescent="0.55000000000000004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</row>
    <row r="244" spans="1:15" ht="18" x14ac:dyDescent="0.55000000000000004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</row>
    <row r="245" spans="1:15" ht="18" x14ac:dyDescent="0.55000000000000004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</row>
    <row r="246" spans="1:15" ht="18" x14ac:dyDescent="0.55000000000000004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</row>
    <row r="247" spans="1:15" ht="18" x14ac:dyDescent="0.55000000000000004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</row>
    <row r="248" spans="1:15" ht="18" x14ac:dyDescent="0.55000000000000004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</row>
    <row r="249" spans="1:15" ht="18" x14ac:dyDescent="0.55000000000000004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</row>
    <row r="250" spans="1:15" ht="18" x14ac:dyDescent="0.55000000000000004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</row>
    <row r="251" spans="1:15" ht="18" x14ac:dyDescent="0.55000000000000004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</row>
    <row r="252" spans="1:15" ht="18" x14ac:dyDescent="0.55000000000000004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</row>
    <row r="253" spans="1:15" ht="18" x14ac:dyDescent="0.55000000000000004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</row>
    <row r="254" spans="1:15" ht="18" x14ac:dyDescent="0.55000000000000004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</row>
    <row r="255" spans="1:15" ht="18" x14ac:dyDescent="0.55000000000000004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</row>
    <row r="256" spans="1:15" ht="18" x14ac:dyDescent="0.55000000000000004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</row>
    <row r="257" spans="1:15" ht="18" x14ac:dyDescent="0.55000000000000004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</row>
    <row r="258" spans="1:15" ht="18" x14ac:dyDescent="0.55000000000000004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</row>
    <row r="259" spans="1:15" ht="18" x14ac:dyDescent="0.55000000000000004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</row>
    <row r="260" spans="1:15" ht="18" x14ac:dyDescent="0.55000000000000004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</row>
    <row r="261" spans="1:15" ht="18" x14ac:dyDescent="0.55000000000000004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</row>
    <row r="262" spans="1:15" ht="18" x14ac:dyDescent="0.55000000000000004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</row>
    <row r="263" spans="1:15" ht="18" x14ac:dyDescent="0.55000000000000004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</row>
    <row r="264" spans="1:15" ht="18" x14ac:dyDescent="0.55000000000000004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</row>
    <row r="265" spans="1:15" ht="18" x14ac:dyDescent="0.55000000000000004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</row>
    <row r="266" spans="1:15" ht="18" x14ac:dyDescent="0.55000000000000004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</row>
    <row r="267" spans="1:15" ht="18" x14ac:dyDescent="0.55000000000000004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</row>
    <row r="268" spans="1:15" ht="18" x14ac:dyDescent="0.55000000000000004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</row>
    <row r="269" spans="1:15" ht="18" x14ac:dyDescent="0.55000000000000004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</row>
    <row r="270" spans="1:15" ht="18" x14ac:dyDescent="0.55000000000000004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</row>
    <row r="271" spans="1:15" ht="18" x14ac:dyDescent="0.55000000000000004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</row>
    <row r="272" spans="1:15" ht="18" x14ac:dyDescent="0.55000000000000004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</row>
    <row r="273" spans="1:15" ht="18" x14ac:dyDescent="0.55000000000000004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</row>
    <row r="274" spans="1:15" ht="18" x14ac:dyDescent="0.55000000000000004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</row>
    <row r="275" spans="1:15" ht="18" x14ac:dyDescent="0.55000000000000004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</row>
    <row r="276" spans="1:15" ht="18" x14ac:dyDescent="0.55000000000000004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</row>
    <row r="277" spans="1:15" ht="18" x14ac:dyDescent="0.55000000000000004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</row>
    <row r="278" spans="1:15" ht="18" x14ac:dyDescent="0.55000000000000004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</row>
    <row r="279" spans="1:15" ht="18" x14ac:dyDescent="0.55000000000000004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</row>
    <row r="280" spans="1:15" ht="18" x14ac:dyDescent="0.55000000000000004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</row>
    <row r="281" spans="1:15" ht="18" x14ac:dyDescent="0.55000000000000004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</row>
    <row r="282" spans="1:15" ht="18" x14ac:dyDescent="0.55000000000000004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</row>
    <row r="283" spans="1:15" ht="18" x14ac:dyDescent="0.55000000000000004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</row>
    <row r="284" spans="1:15" ht="18" x14ac:dyDescent="0.55000000000000004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</row>
    <row r="285" spans="1:15" ht="18" x14ac:dyDescent="0.55000000000000004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</row>
    <row r="286" spans="1:15" ht="18" x14ac:dyDescent="0.55000000000000004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</row>
    <row r="287" spans="1:15" ht="18" x14ac:dyDescent="0.55000000000000004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</row>
    <row r="288" spans="1:15" ht="18" x14ac:dyDescent="0.55000000000000004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</row>
    <row r="289" spans="1:15" ht="18" x14ac:dyDescent="0.55000000000000004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</row>
    <row r="290" spans="1:15" ht="18" x14ac:dyDescent="0.55000000000000004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</row>
    <row r="291" spans="1:15" ht="18" x14ac:dyDescent="0.55000000000000004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</row>
    <row r="292" spans="1:15" ht="18" x14ac:dyDescent="0.55000000000000004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</row>
    <row r="293" spans="1:15" ht="18" x14ac:dyDescent="0.55000000000000004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</row>
    <row r="294" spans="1:15" ht="18" x14ac:dyDescent="0.55000000000000004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</row>
    <row r="295" spans="1:15" ht="18" x14ac:dyDescent="0.55000000000000004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</row>
    <row r="296" spans="1:15" ht="18" x14ac:dyDescent="0.55000000000000004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</row>
    <row r="297" spans="1:15" ht="18" x14ac:dyDescent="0.55000000000000004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</row>
    <row r="298" spans="1:15" ht="18" x14ac:dyDescent="0.55000000000000004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</row>
    <row r="299" spans="1:15" ht="18" x14ac:dyDescent="0.55000000000000004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</row>
    <row r="300" spans="1:15" ht="18" x14ac:dyDescent="0.55000000000000004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</row>
    <row r="301" spans="1:15" ht="18" x14ac:dyDescent="0.55000000000000004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</row>
    <row r="302" spans="1:15" ht="18" x14ac:dyDescent="0.55000000000000004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</row>
    <row r="303" spans="1:15" ht="18" x14ac:dyDescent="0.55000000000000004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</row>
    <row r="304" spans="1:15" ht="18" x14ac:dyDescent="0.55000000000000004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</row>
    <row r="305" spans="1:15" ht="18" x14ac:dyDescent="0.55000000000000004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</row>
    <row r="306" spans="1:15" ht="18" x14ac:dyDescent="0.55000000000000004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</row>
    <row r="307" spans="1:15" ht="18" x14ac:dyDescent="0.55000000000000004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</row>
    <row r="308" spans="1:15" ht="18" x14ac:dyDescent="0.55000000000000004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</row>
    <row r="309" spans="1:15" ht="18" x14ac:dyDescent="0.55000000000000004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</row>
    <row r="310" spans="1:15" ht="18" x14ac:dyDescent="0.55000000000000004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</row>
    <row r="311" spans="1:15" ht="18" x14ac:dyDescent="0.55000000000000004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</row>
    <row r="312" spans="1:15" ht="18" x14ac:dyDescent="0.55000000000000004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</row>
    <row r="313" spans="1:15" ht="18" x14ac:dyDescent="0.55000000000000004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</row>
    <row r="314" spans="1:15" ht="18" x14ac:dyDescent="0.55000000000000004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</row>
    <row r="315" spans="1:15" ht="18" x14ac:dyDescent="0.55000000000000004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</row>
    <row r="316" spans="1:15" ht="18" x14ac:dyDescent="0.55000000000000004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</row>
    <row r="317" spans="1:15" ht="18" x14ac:dyDescent="0.55000000000000004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</row>
    <row r="318" spans="1:15" ht="18" x14ac:dyDescent="0.55000000000000004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</row>
    <row r="319" spans="1:15" ht="18" x14ac:dyDescent="0.55000000000000004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</row>
    <row r="320" spans="1:15" ht="18" x14ac:dyDescent="0.55000000000000004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</row>
    <row r="321" spans="1:15" ht="18" x14ac:dyDescent="0.55000000000000004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</row>
    <row r="322" spans="1:15" ht="18" x14ac:dyDescent="0.55000000000000004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</row>
    <row r="323" spans="1:15" ht="18" x14ac:dyDescent="0.55000000000000004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</row>
    <row r="324" spans="1:15" ht="18" x14ac:dyDescent="0.55000000000000004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</row>
    <row r="325" spans="1:15" ht="18" x14ac:dyDescent="0.55000000000000004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</row>
    <row r="326" spans="1:15" ht="18" x14ac:dyDescent="0.55000000000000004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</row>
    <row r="327" spans="1:15" ht="18" x14ac:dyDescent="0.55000000000000004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</row>
    <row r="328" spans="1:15" ht="18" x14ac:dyDescent="0.55000000000000004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</row>
    <row r="329" spans="1:15" ht="18" x14ac:dyDescent="0.55000000000000004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</row>
    <row r="330" spans="1:15" ht="18" x14ac:dyDescent="0.55000000000000004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</row>
    <row r="331" spans="1:15" ht="18" x14ac:dyDescent="0.55000000000000004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</row>
    <row r="332" spans="1:15" ht="18" x14ac:dyDescent="0.55000000000000004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</row>
    <row r="333" spans="1:15" ht="18" x14ac:dyDescent="0.55000000000000004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</row>
    <row r="334" spans="1:15" ht="18" x14ac:dyDescent="0.55000000000000004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</row>
    <row r="335" spans="1:15" ht="18" x14ac:dyDescent="0.55000000000000004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</row>
    <row r="336" spans="1:15" ht="18" x14ac:dyDescent="0.55000000000000004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</row>
    <row r="337" spans="1:15" ht="18" x14ac:dyDescent="0.55000000000000004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</row>
    <row r="338" spans="1:15" ht="18" x14ac:dyDescent="0.55000000000000004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</row>
    <row r="339" spans="1:15" ht="18" x14ac:dyDescent="0.55000000000000004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</row>
    <row r="340" spans="1:15" ht="18" x14ac:dyDescent="0.55000000000000004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</row>
    <row r="341" spans="1:15" ht="18" x14ac:dyDescent="0.55000000000000004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</row>
    <row r="342" spans="1:15" ht="18" x14ac:dyDescent="0.55000000000000004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</row>
    <row r="343" spans="1:15" ht="18" x14ac:dyDescent="0.55000000000000004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</row>
    <row r="344" spans="1:15" ht="18" x14ac:dyDescent="0.55000000000000004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</row>
    <row r="345" spans="1:15" ht="18" x14ac:dyDescent="0.55000000000000004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</row>
    <row r="346" spans="1:15" ht="18" x14ac:dyDescent="0.55000000000000004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</row>
    <row r="347" spans="1:15" ht="18" x14ac:dyDescent="0.55000000000000004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</row>
    <row r="348" spans="1:15" ht="18" x14ac:dyDescent="0.55000000000000004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</row>
    <row r="349" spans="1:15" ht="18" x14ac:dyDescent="0.55000000000000004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</row>
    <row r="350" spans="1:15" ht="18" x14ac:dyDescent="0.55000000000000004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</row>
    <row r="351" spans="1:15" ht="18" x14ac:dyDescent="0.55000000000000004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</row>
    <row r="352" spans="1:15" ht="18" x14ac:dyDescent="0.55000000000000004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</row>
    <row r="353" spans="1:15" ht="18" x14ac:dyDescent="0.55000000000000004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</row>
    <row r="354" spans="1:15" ht="18" x14ac:dyDescent="0.55000000000000004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</row>
    <row r="355" spans="1:15" ht="18" x14ac:dyDescent="0.55000000000000004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</row>
    <row r="356" spans="1:15" ht="18" x14ac:dyDescent="0.55000000000000004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</row>
    <row r="357" spans="1:15" ht="18" x14ac:dyDescent="0.55000000000000004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</row>
    <row r="358" spans="1:15" ht="18" x14ac:dyDescent="0.55000000000000004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</row>
    <row r="359" spans="1:15" ht="18" x14ac:dyDescent="0.55000000000000004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</row>
    <row r="360" spans="1:15" ht="18" x14ac:dyDescent="0.55000000000000004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</row>
    <row r="361" spans="1:15" ht="18" x14ac:dyDescent="0.55000000000000004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</row>
    <row r="362" spans="1:15" ht="18" x14ac:dyDescent="0.55000000000000004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</row>
    <row r="363" spans="1:15" ht="18" x14ac:dyDescent="0.55000000000000004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</row>
    <row r="364" spans="1:15" ht="18" x14ac:dyDescent="0.55000000000000004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</row>
    <row r="365" spans="1:15" ht="18" x14ac:dyDescent="0.55000000000000004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</row>
    <row r="366" spans="1:15" ht="18" x14ac:dyDescent="0.55000000000000004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</row>
    <row r="367" spans="1:15" ht="18" x14ac:dyDescent="0.55000000000000004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</row>
    <row r="368" spans="1:15" ht="18" x14ac:dyDescent="0.55000000000000004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</row>
    <row r="369" spans="1:15" ht="18" x14ac:dyDescent="0.55000000000000004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</row>
    <row r="370" spans="1:15" ht="18" x14ac:dyDescent="0.55000000000000004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</row>
    <row r="371" spans="1:15" ht="18" x14ac:dyDescent="0.55000000000000004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</row>
    <row r="372" spans="1:15" ht="18" x14ac:dyDescent="0.55000000000000004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</row>
    <row r="373" spans="1:15" ht="18" x14ac:dyDescent="0.55000000000000004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</row>
    <row r="374" spans="1:15" ht="18" x14ac:dyDescent="0.55000000000000004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</row>
    <row r="375" spans="1:15" ht="18" x14ac:dyDescent="0.55000000000000004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</row>
    <row r="376" spans="1:15" ht="18" x14ac:dyDescent="0.55000000000000004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</row>
    <row r="377" spans="1:15" ht="18" x14ac:dyDescent="0.55000000000000004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</row>
    <row r="378" spans="1:15" ht="18" x14ac:dyDescent="0.55000000000000004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</row>
    <row r="379" spans="1:15" ht="18" x14ac:dyDescent="0.55000000000000004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</row>
    <row r="380" spans="1:15" ht="18" x14ac:dyDescent="0.55000000000000004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</row>
    <row r="381" spans="1:15" ht="18" x14ac:dyDescent="0.55000000000000004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</row>
    <row r="382" spans="1:15" ht="18" x14ac:dyDescent="0.55000000000000004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</row>
    <row r="383" spans="1:15" ht="18" x14ac:dyDescent="0.55000000000000004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</row>
    <row r="384" spans="1:15" ht="18" x14ac:dyDescent="0.55000000000000004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</row>
    <row r="385" spans="1:15" ht="18" x14ac:dyDescent="0.55000000000000004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</row>
    <row r="386" spans="1:15" ht="18" x14ac:dyDescent="0.55000000000000004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</row>
    <row r="387" spans="1:15" ht="18" x14ac:dyDescent="0.55000000000000004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</row>
    <row r="388" spans="1:15" ht="18" x14ac:dyDescent="0.55000000000000004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</row>
    <row r="389" spans="1:15" ht="18" x14ac:dyDescent="0.55000000000000004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</row>
    <row r="390" spans="1:15" ht="18" x14ac:dyDescent="0.55000000000000004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</row>
    <row r="391" spans="1:15" ht="18" x14ac:dyDescent="0.55000000000000004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</row>
    <row r="392" spans="1:15" ht="18" x14ac:dyDescent="0.55000000000000004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</row>
    <row r="393" spans="1:15" ht="18" x14ac:dyDescent="0.55000000000000004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</row>
    <row r="394" spans="1:15" ht="18" x14ac:dyDescent="0.55000000000000004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</row>
    <row r="395" spans="1:15" ht="18" x14ac:dyDescent="0.55000000000000004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</row>
    <row r="396" spans="1:15" ht="18" x14ac:dyDescent="0.55000000000000004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</row>
    <row r="397" spans="1:15" ht="18" x14ac:dyDescent="0.55000000000000004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</row>
    <row r="398" spans="1:15" ht="18" x14ac:dyDescent="0.55000000000000004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</row>
    <row r="399" spans="1:15" ht="18" x14ac:dyDescent="0.55000000000000004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</row>
    <row r="400" spans="1:15" ht="18" x14ac:dyDescent="0.55000000000000004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</row>
    <row r="401" spans="1:15" ht="18" x14ac:dyDescent="0.55000000000000004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</row>
    <row r="402" spans="1:15" ht="18" x14ac:dyDescent="0.55000000000000004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</row>
    <row r="403" spans="1:15" ht="18" x14ac:dyDescent="0.55000000000000004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</row>
    <row r="404" spans="1:15" ht="18" x14ac:dyDescent="0.55000000000000004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</row>
    <row r="405" spans="1:15" ht="18" x14ac:dyDescent="0.55000000000000004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</row>
    <row r="406" spans="1:15" ht="18" x14ac:dyDescent="0.55000000000000004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</row>
    <row r="407" spans="1:15" ht="18" x14ac:dyDescent="0.55000000000000004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</row>
    <row r="408" spans="1:15" ht="18" x14ac:dyDescent="0.55000000000000004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</row>
    <row r="409" spans="1:15" ht="18" x14ac:dyDescent="0.55000000000000004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</row>
    <row r="410" spans="1:15" ht="18" x14ac:dyDescent="0.55000000000000004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</row>
    <row r="411" spans="1:15" ht="18" x14ac:dyDescent="0.55000000000000004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</row>
    <row r="412" spans="1:15" ht="18" x14ac:dyDescent="0.55000000000000004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</row>
    <row r="413" spans="1:15" ht="18" x14ac:dyDescent="0.55000000000000004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</row>
    <row r="414" spans="1:15" ht="18" x14ac:dyDescent="0.55000000000000004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</row>
    <row r="415" spans="1:15" ht="18" x14ac:dyDescent="0.55000000000000004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</row>
    <row r="416" spans="1:15" ht="18" x14ac:dyDescent="0.55000000000000004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</row>
    <row r="417" spans="1:15" ht="18" x14ac:dyDescent="0.55000000000000004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</row>
    <row r="418" spans="1:15" ht="18" x14ac:dyDescent="0.55000000000000004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</row>
    <row r="419" spans="1:15" ht="18" x14ac:dyDescent="0.55000000000000004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</row>
    <row r="420" spans="1:15" ht="18" x14ac:dyDescent="0.55000000000000004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</row>
    <row r="421" spans="1:15" ht="18" x14ac:dyDescent="0.55000000000000004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</row>
    <row r="422" spans="1:15" ht="18" x14ac:dyDescent="0.55000000000000004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</row>
    <row r="423" spans="1:15" ht="18" x14ac:dyDescent="0.55000000000000004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</row>
    <row r="424" spans="1:15" ht="18" x14ac:dyDescent="0.55000000000000004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</row>
    <row r="425" spans="1:15" ht="18" x14ac:dyDescent="0.55000000000000004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</row>
    <row r="426" spans="1:15" ht="18" x14ac:dyDescent="0.55000000000000004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</row>
    <row r="427" spans="1:15" ht="18" x14ac:dyDescent="0.55000000000000004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</row>
    <row r="428" spans="1:15" ht="18" x14ac:dyDescent="0.55000000000000004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</row>
    <row r="429" spans="1:15" ht="18" x14ac:dyDescent="0.55000000000000004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</row>
    <row r="430" spans="1:15" ht="18" x14ac:dyDescent="0.55000000000000004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</row>
    <row r="431" spans="1:15" ht="18" x14ac:dyDescent="0.55000000000000004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</row>
    <row r="432" spans="1:15" ht="18" x14ac:dyDescent="0.55000000000000004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</row>
    <row r="433" spans="1:15" ht="18" x14ac:dyDescent="0.55000000000000004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</row>
    <row r="434" spans="1:15" ht="18" x14ac:dyDescent="0.55000000000000004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</row>
    <row r="435" spans="1:15" ht="18" x14ac:dyDescent="0.55000000000000004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</row>
    <row r="436" spans="1:15" ht="18" x14ac:dyDescent="0.55000000000000004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</row>
    <row r="437" spans="1:15" ht="18" x14ac:dyDescent="0.55000000000000004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</row>
    <row r="438" spans="1:15" ht="18" x14ac:dyDescent="0.55000000000000004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</row>
    <row r="439" spans="1:15" ht="18" x14ac:dyDescent="0.55000000000000004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</row>
    <row r="440" spans="1:15" ht="18" x14ac:dyDescent="0.55000000000000004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</row>
    <row r="441" spans="1:15" ht="18" x14ac:dyDescent="0.55000000000000004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</row>
    <row r="442" spans="1:15" ht="18" x14ac:dyDescent="0.55000000000000004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</row>
    <row r="443" spans="1:15" ht="18" x14ac:dyDescent="0.55000000000000004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</row>
    <row r="444" spans="1:15" ht="18" x14ac:dyDescent="0.55000000000000004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</row>
    <row r="445" spans="1:15" ht="18" x14ac:dyDescent="0.55000000000000004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</row>
    <row r="446" spans="1:15" ht="18" x14ac:dyDescent="0.55000000000000004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</row>
    <row r="447" spans="1:15" ht="18" x14ac:dyDescent="0.55000000000000004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</row>
    <row r="448" spans="1:15" ht="18" x14ac:dyDescent="0.55000000000000004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</row>
    <row r="449" spans="1:15" ht="18" x14ac:dyDescent="0.55000000000000004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</row>
    <row r="450" spans="1:15" ht="18" x14ac:dyDescent="0.55000000000000004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</row>
    <row r="451" spans="1:15" ht="18" x14ac:dyDescent="0.55000000000000004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</row>
    <row r="452" spans="1:15" ht="18" x14ac:dyDescent="0.55000000000000004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</row>
    <row r="453" spans="1:15" ht="18" x14ac:dyDescent="0.55000000000000004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</row>
    <row r="454" spans="1:15" ht="18" x14ac:dyDescent="0.55000000000000004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</row>
    <row r="455" spans="1:15" ht="18" x14ac:dyDescent="0.55000000000000004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</row>
    <row r="456" spans="1:15" ht="18" x14ac:dyDescent="0.55000000000000004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</row>
    <row r="457" spans="1:15" ht="18" x14ac:dyDescent="0.55000000000000004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</row>
    <row r="458" spans="1:15" ht="18" x14ac:dyDescent="0.55000000000000004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</row>
    <row r="459" spans="1:15" ht="18" x14ac:dyDescent="0.55000000000000004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</row>
    <row r="460" spans="1:15" ht="18" x14ac:dyDescent="0.55000000000000004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</row>
    <row r="461" spans="1:15" ht="18" x14ac:dyDescent="0.55000000000000004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</row>
    <row r="462" spans="1:15" ht="18" x14ac:dyDescent="0.55000000000000004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</row>
    <row r="463" spans="1:15" ht="18" x14ac:dyDescent="0.55000000000000004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</row>
    <row r="464" spans="1:15" ht="18" x14ac:dyDescent="0.55000000000000004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</row>
    <row r="465" spans="1:15" ht="18" x14ac:dyDescent="0.55000000000000004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</row>
    <row r="466" spans="1:15" ht="18" x14ac:dyDescent="0.55000000000000004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</row>
    <row r="467" spans="1:15" ht="18" x14ac:dyDescent="0.55000000000000004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</row>
    <row r="468" spans="1:15" ht="18" x14ac:dyDescent="0.55000000000000004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</row>
    <row r="469" spans="1:15" ht="18" x14ac:dyDescent="0.55000000000000004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</row>
    <row r="470" spans="1:15" ht="18" x14ac:dyDescent="0.55000000000000004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</row>
    <row r="471" spans="1:15" ht="18" x14ac:dyDescent="0.55000000000000004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</row>
    <row r="472" spans="1:15" ht="18" x14ac:dyDescent="0.55000000000000004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</row>
    <row r="473" spans="1:15" ht="18" x14ac:dyDescent="0.55000000000000004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</row>
    <row r="474" spans="1:15" ht="18" x14ac:dyDescent="0.55000000000000004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</row>
    <row r="475" spans="1:15" ht="18" x14ac:dyDescent="0.55000000000000004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</row>
    <row r="476" spans="1:15" ht="18" x14ac:dyDescent="0.55000000000000004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</row>
    <row r="477" spans="1:15" ht="18" x14ac:dyDescent="0.55000000000000004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</row>
    <row r="478" spans="1:15" ht="18" x14ac:dyDescent="0.55000000000000004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</row>
    <row r="479" spans="1:15" ht="18" x14ac:dyDescent="0.55000000000000004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</row>
    <row r="480" spans="1:15" ht="18" x14ac:dyDescent="0.55000000000000004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</row>
    <row r="481" spans="1:15" ht="18" x14ac:dyDescent="0.55000000000000004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</row>
    <row r="482" spans="1:15" ht="18" x14ac:dyDescent="0.55000000000000004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</row>
    <row r="483" spans="1:15" ht="18" x14ac:dyDescent="0.55000000000000004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</row>
    <row r="484" spans="1:15" ht="18" x14ac:dyDescent="0.55000000000000004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</row>
    <row r="485" spans="1:15" ht="18" x14ac:dyDescent="0.55000000000000004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</row>
    <row r="486" spans="1:15" ht="18" x14ac:dyDescent="0.55000000000000004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</row>
    <row r="487" spans="1:15" ht="18" x14ac:dyDescent="0.55000000000000004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</row>
    <row r="488" spans="1:15" ht="18" x14ac:dyDescent="0.55000000000000004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</row>
    <row r="489" spans="1:15" ht="18" x14ac:dyDescent="0.55000000000000004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</row>
    <row r="490" spans="1:15" ht="18" x14ac:dyDescent="0.55000000000000004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</row>
    <row r="491" spans="1:15" ht="18" x14ac:dyDescent="0.55000000000000004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</row>
    <row r="492" spans="1:15" ht="18" x14ac:dyDescent="0.55000000000000004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</row>
    <row r="493" spans="1:15" ht="18" x14ac:dyDescent="0.55000000000000004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</row>
    <row r="494" spans="1:15" ht="18" x14ac:dyDescent="0.55000000000000004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</row>
    <row r="495" spans="1:15" ht="18" x14ac:dyDescent="0.55000000000000004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</row>
    <row r="496" spans="1:15" ht="18" x14ac:dyDescent="0.55000000000000004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</row>
    <row r="497" spans="1:15" ht="18" x14ac:dyDescent="0.55000000000000004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</row>
    <row r="498" spans="1:15" ht="18" x14ac:dyDescent="0.55000000000000004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</row>
    <row r="499" spans="1:15" ht="18" x14ac:dyDescent="0.55000000000000004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</row>
    <row r="500" spans="1:15" ht="18" x14ac:dyDescent="0.55000000000000004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</row>
    <row r="501" spans="1:15" ht="18" x14ac:dyDescent="0.55000000000000004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</row>
    <row r="502" spans="1:15" ht="18" x14ac:dyDescent="0.55000000000000004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</row>
    <row r="503" spans="1:15" ht="18" x14ac:dyDescent="0.55000000000000004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</row>
    <row r="504" spans="1:15" ht="18" x14ac:dyDescent="0.55000000000000004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</row>
    <row r="505" spans="1:15" ht="18" x14ac:dyDescent="0.55000000000000004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</row>
    <row r="506" spans="1:15" ht="18" x14ac:dyDescent="0.55000000000000004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</row>
    <row r="507" spans="1:15" ht="18" x14ac:dyDescent="0.55000000000000004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</row>
    <row r="508" spans="1:15" ht="18" x14ac:dyDescent="0.55000000000000004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</row>
    <row r="509" spans="1:15" ht="18" x14ac:dyDescent="0.55000000000000004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</row>
    <row r="510" spans="1:15" ht="18" x14ac:dyDescent="0.55000000000000004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</row>
    <row r="511" spans="1:15" ht="18" x14ac:dyDescent="0.55000000000000004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</row>
    <row r="512" spans="1:15" ht="18" x14ac:dyDescent="0.55000000000000004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</row>
    <row r="513" spans="1:15" ht="18" x14ac:dyDescent="0.55000000000000004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</row>
    <row r="514" spans="1:15" ht="18" x14ac:dyDescent="0.55000000000000004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</row>
    <row r="515" spans="1:15" ht="18" x14ac:dyDescent="0.55000000000000004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</row>
    <row r="516" spans="1:15" ht="18" x14ac:dyDescent="0.55000000000000004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</row>
    <row r="517" spans="1:15" ht="18" x14ac:dyDescent="0.55000000000000004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</row>
    <row r="518" spans="1:15" ht="18" x14ac:dyDescent="0.55000000000000004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</row>
    <row r="519" spans="1:15" ht="18" x14ac:dyDescent="0.55000000000000004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</row>
    <row r="520" spans="1:15" ht="18" x14ac:dyDescent="0.55000000000000004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</row>
    <row r="521" spans="1:15" ht="18" x14ac:dyDescent="0.55000000000000004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</row>
    <row r="522" spans="1:15" ht="18" x14ac:dyDescent="0.55000000000000004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</row>
    <row r="523" spans="1:15" ht="18" x14ac:dyDescent="0.55000000000000004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</row>
    <row r="524" spans="1:15" ht="18" x14ac:dyDescent="0.55000000000000004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</row>
    <row r="525" spans="1:15" ht="18" x14ac:dyDescent="0.55000000000000004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</row>
    <row r="526" spans="1:15" ht="18" x14ac:dyDescent="0.55000000000000004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</row>
    <row r="527" spans="1:15" ht="18" x14ac:dyDescent="0.55000000000000004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</row>
    <row r="528" spans="1:15" ht="18" x14ac:dyDescent="0.55000000000000004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</row>
    <row r="529" spans="1:15" ht="18" x14ac:dyDescent="0.55000000000000004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</row>
    <row r="530" spans="1:15" ht="18" x14ac:dyDescent="0.55000000000000004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</row>
    <row r="531" spans="1:15" ht="18" x14ac:dyDescent="0.55000000000000004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</row>
    <row r="532" spans="1:15" ht="18" x14ac:dyDescent="0.55000000000000004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</row>
    <row r="533" spans="1:15" ht="18" x14ac:dyDescent="0.55000000000000004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</row>
    <row r="534" spans="1:15" ht="18" x14ac:dyDescent="0.55000000000000004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</row>
    <row r="535" spans="1:15" ht="18" x14ac:dyDescent="0.55000000000000004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</row>
    <row r="536" spans="1:15" ht="18" x14ac:dyDescent="0.55000000000000004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</row>
    <row r="537" spans="1:15" ht="18" x14ac:dyDescent="0.55000000000000004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</row>
    <row r="538" spans="1:15" ht="18" x14ac:dyDescent="0.55000000000000004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</row>
    <row r="539" spans="1:15" ht="18" x14ac:dyDescent="0.55000000000000004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</row>
    <row r="540" spans="1:15" ht="18" x14ac:dyDescent="0.55000000000000004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</row>
    <row r="541" spans="1:15" ht="18" x14ac:dyDescent="0.55000000000000004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</row>
    <row r="542" spans="1:15" ht="18" x14ac:dyDescent="0.55000000000000004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</row>
    <row r="543" spans="1:15" ht="18" x14ac:dyDescent="0.55000000000000004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</row>
    <row r="544" spans="1:15" ht="18" x14ac:dyDescent="0.55000000000000004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</row>
    <row r="545" spans="1:15" ht="18" x14ac:dyDescent="0.55000000000000004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</row>
    <row r="546" spans="1:15" ht="18" x14ac:dyDescent="0.55000000000000004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</row>
    <row r="547" spans="1:15" ht="18" x14ac:dyDescent="0.55000000000000004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</row>
    <row r="548" spans="1:15" ht="18" x14ac:dyDescent="0.55000000000000004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</row>
    <row r="549" spans="1:15" ht="18" x14ac:dyDescent="0.55000000000000004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</row>
    <row r="550" spans="1:15" ht="18" x14ac:dyDescent="0.55000000000000004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</row>
    <row r="551" spans="1:15" ht="18" x14ac:dyDescent="0.55000000000000004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</row>
    <row r="552" spans="1:15" ht="18" x14ac:dyDescent="0.55000000000000004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</row>
    <row r="553" spans="1:15" ht="18" x14ac:dyDescent="0.55000000000000004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</row>
    <row r="554" spans="1:15" ht="18" x14ac:dyDescent="0.55000000000000004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</row>
    <row r="555" spans="1:15" ht="18" x14ac:dyDescent="0.55000000000000004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</row>
    <row r="556" spans="1:15" ht="18" x14ac:dyDescent="0.55000000000000004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</row>
    <row r="557" spans="1:15" ht="18" x14ac:dyDescent="0.55000000000000004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</row>
    <row r="558" spans="1:15" ht="18" x14ac:dyDescent="0.55000000000000004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</row>
    <row r="559" spans="1:15" ht="18" x14ac:dyDescent="0.55000000000000004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</row>
    <row r="560" spans="1:15" ht="18" x14ac:dyDescent="0.55000000000000004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</row>
    <row r="561" spans="1:15" ht="18" x14ac:dyDescent="0.55000000000000004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</row>
    <row r="562" spans="1:15" ht="18" x14ac:dyDescent="0.55000000000000004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</row>
    <row r="563" spans="1:15" ht="18" x14ac:dyDescent="0.55000000000000004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</row>
    <row r="564" spans="1:15" ht="18" x14ac:dyDescent="0.55000000000000004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</row>
    <row r="565" spans="1:15" ht="18" x14ac:dyDescent="0.55000000000000004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</row>
    <row r="566" spans="1:15" ht="18" x14ac:dyDescent="0.55000000000000004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</row>
    <row r="567" spans="1:15" ht="18" x14ac:dyDescent="0.55000000000000004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</row>
    <row r="568" spans="1:15" ht="18" x14ac:dyDescent="0.55000000000000004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</row>
    <row r="569" spans="1:15" ht="18" x14ac:dyDescent="0.55000000000000004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</row>
    <row r="570" spans="1:15" ht="18" x14ac:dyDescent="0.55000000000000004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</row>
    <row r="571" spans="1:15" ht="18" x14ac:dyDescent="0.55000000000000004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</row>
    <row r="572" spans="1:15" ht="18" x14ac:dyDescent="0.55000000000000004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</row>
    <row r="573" spans="1:15" ht="18" x14ac:dyDescent="0.55000000000000004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</row>
    <row r="574" spans="1:15" ht="18" x14ac:dyDescent="0.55000000000000004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</row>
    <row r="575" spans="1:15" ht="18" x14ac:dyDescent="0.55000000000000004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</row>
    <row r="576" spans="1:15" ht="18" x14ac:dyDescent="0.55000000000000004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</row>
    <row r="577" spans="1:15" ht="18" x14ac:dyDescent="0.55000000000000004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</row>
    <row r="578" spans="1:15" ht="18" x14ac:dyDescent="0.55000000000000004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</row>
    <row r="579" spans="1:15" ht="18" x14ac:dyDescent="0.55000000000000004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</row>
    <row r="580" spans="1:15" ht="18" x14ac:dyDescent="0.55000000000000004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</row>
    <row r="581" spans="1:15" ht="18" x14ac:dyDescent="0.55000000000000004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</row>
    <row r="582" spans="1:15" ht="18" x14ac:dyDescent="0.55000000000000004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</row>
    <row r="583" spans="1:15" ht="18" x14ac:dyDescent="0.55000000000000004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</row>
    <row r="584" spans="1:15" ht="18" x14ac:dyDescent="0.55000000000000004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</row>
    <row r="585" spans="1:15" ht="18" x14ac:dyDescent="0.55000000000000004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</row>
    <row r="586" spans="1:15" ht="18" x14ac:dyDescent="0.55000000000000004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</row>
    <row r="587" spans="1:15" ht="18" x14ac:dyDescent="0.55000000000000004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</row>
    <row r="588" spans="1:15" ht="18" x14ac:dyDescent="0.55000000000000004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</row>
    <row r="589" spans="1:15" ht="18" x14ac:dyDescent="0.55000000000000004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</row>
    <row r="590" spans="1:15" ht="18" x14ac:dyDescent="0.55000000000000004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</row>
    <row r="591" spans="1:15" ht="18" x14ac:dyDescent="0.55000000000000004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</row>
    <row r="592" spans="1:15" ht="18" x14ac:dyDescent="0.55000000000000004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</row>
    <row r="593" spans="1:15" ht="18" x14ac:dyDescent="0.55000000000000004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</row>
    <row r="594" spans="1:15" ht="18" x14ac:dyDescent="0.55000000000000004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</row>
    <row r="595" spans="1:15" ht="18" x14ac:dyDescent="0.55000000000000004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</row>
    <row r="596" spans="1:15" ht="18" x14ac:dyDescent="0.55000000000000004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</row>
    <row r="597" spans="1:15" ht="18" x14ac:dyDescent="0.55000000000000004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</row>
    <row r="598" spans="1:15" ht="18" x14ac:dyDescent="0.55000000000000004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</row>
    <row r="599" spans="1:15" ht="18" x14ac:dyDescent="0.55000000000000004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</row>
    <row r="600" spans="1:15" ht="18" x14ac:dyDescent="0.55000000000000004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</row>
    <row r="601" spans="1:15" ht="18" x14ac:dyDescent="0.55000000000000004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</row>
    <row r="602" spans="1:15" ht="18" x14ac:dyDescent="0.55000000000000004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</row>
    <row r="603" spans="1:15" ht="18" x14ac:dyDescent="0.55000000000000004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</row>
    <row r="604" spans="1:15" ht="18" x14ac:dyDescent="0.55000000000000004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</row>
    <row r="605" spans="1:15" ht="18" x14ac:dyDescent="0.55000000000000004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</row>
    <row r="606" spans="1:15" ht="18" x14ac:dyDescent="0.55000000000000004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</row>
    <row r="607" spans="1:15" ht="18" x14ac:dyDescent="0.55000000000000004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</row>
    <row r="608" spans="1:15" ht="18" x14ac:dyDescent="0.55000000000000004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</row>
    <row r="609" spans="1:15" ht="18" x14ac:dyDescent="0.55000000000000004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</row>
    <row r="610" spans="1:15" ht="18" x14ac:dyDescent="0.55000000000000004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</row>
    <row r="611" spans="1:15" ht="18" x14ac:dyDescent="0.55000000000000004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</row>
    <row r="612" spans="1:15" ht="18" x14ac:dyDescent="0.55000000000000004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</row>
    <row r="613" spans="1:15" ht="18" x14ac:dyDescent="0.55000000000000004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</row>
    <row r="614" spans="1:15" ht="18" x14ac:dyDescent="0.55000000000000004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</row>
    <row r="615" spans="1:15" ht="18" x14ac:dyDescent="0.55000000000000004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</row>
    <row r="616" spans="1:15" ht="18" x14ac:dyDescent="0.55000000000000004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</row>
    <row r="617" spans="1:15" ht="18" x14ac:dyDescent="0.55000000000000004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</row>
    <row r="618" spans="1:15" ht="18" x14ac:dyDescent="0.55000000000000004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</row>
    <row r="619" spans="1:15" ht="18" x14ac:dyDescent="0.55000000000000004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</row>
    <row r="620" spans="1:15" ht="18" x14ac:dyDescent="0.55000000000000004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</row>
    <row r="621" spans="1:15" ht="18" x14ac:dyDescent="0.55000000000000004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</row>
    <row r="622" spans="1:15" ht="18" x14ac:dyDescent="0.55000000000000004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</row>
    <row r="623" spans="1:15" ht="18" x14ac:dyDescent="0.55000000000000004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</row>
    <row r="624" spans="1:15" ht="18" x14ac:dyDescent="0.55000000000000004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</row>
    <row r="625" spans="1:15" ht="18" x14ac:dyDescent="0.55000000000000004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</row>
    <row r="626" spans="1:15" ht="18" x14ac:dyDescent="0.55000000000000004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</row>
    <row r="627" spans="1:15" ht="18" x14ac:dyDescent="0.55000000000000004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</row>
    <row r="628" spans="1:15" ht="18" x14ac:dyDescent="0.55000000000000004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</row>
    <row r="629" spans="1:15" ht="18" x14ac:dyDescent="0.55000000000000004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</row>
    <row r="630" spans="1:15" ht="18" x14ac:dyDescent="0.55000000000000004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</row>
    <row r="631" spans="1:15" ht="18" x14ac:dyDescent="0.55000000000000004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</row>
    <row r="632" spans="1:15" ht="18" x14ac:dyDescent="0.55000000000000004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</row>
    <row r="633" spans="1:15" ht="18" x14ac:dyDescent="0.55000000000000004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</row>
    <row r="634" spans="1:15" ht="18" x14ac:dyDescent="0.55000000000000004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</row>
    <row r="635" spans="1:15" ht="18" x14ac:dyDescent="0.55000000000000004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</row>
    <row r="636" spans="1:15" ht="18" x14ac:dyDescent="0.55000000000000004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</row>
    <row r="637" spans="1:15" ht="18" x14ac:dyDescent="0.55000000000000004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</row>
    <row r="638" spans="1:15" ht="18" x14ac:dyDescent="0.55000000000000004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</row>
    <row r="639" spans="1:15" ht="18" x14ac:dyDescent="0.55000000000000004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</row>
    <row r="640" spans="1:15" ht="18" x14ac:dyDescent="0.55000000000000004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</row>
    <row r="641" spans="1:15" ht="18" x14ac:dyDescent="0.55000000000000004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</row>
    <row r="642" spans="1:15" ht="18" x14ac:dyDescent="0.55000000000000004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</row>
    <row r="643" spans="1:15" ht="18" x14ac:dyDescent="0.55000000000000004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</row>
    <row r="644" spans="1:15" ht="18" x14ac:dyDescent="0.55000000000000004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</row>
    <row r="645" spans="1:15" ht="18" x14ac:dyDescent="0.55000000000000004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</row>
    <row r="646" spans="1:15" ht="18" x14ac:dyDescent="0.55000000000000004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</row>
    <row r="647" spans="1:15" ht="18" x14ac:dyDescent="0.55000000000000004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</row>
    <row r="648" spans="1:15" ht="18" x14ac:dyDescent="0.55000000000000004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</row>
    <row r="649" spans="1:15" ht="18" x14ac:dyDescent="0.55000000000000004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</row>
    <row r="650" spans="1:15" ht="18" x14ac:dyDescent="0.55000000000000004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</row>
    <row r="651" spans="1:15" ht="18" x14ac:dyDescent="0.55000000000000004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</row>
    <row r="652" spans="1:15" ht="18" x14ac:dyDescent="0.55000000000000004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</row>
    <row r="653" spans="1:15" ht="18" x14ac:dyDescent="0.55000000000000004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</row>
    <row r="654" spans="1:15" ht="18" x14ac:dyDescent="0.55000000000000004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</row>
    <row r="655" spans="1:15" ht="18" x14ac:dyDescent="0.55000000000000004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</row>
    <row r="656" spans="1:15" ht="18" x14ac:dyDescent="0.55000000000000004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</row>
    <row r="657" spans="1:15" ht="18" x14ac:dyDescent="0.55000000000000004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</row>
    <row r="658" spans="1:15" ht="18" x14ac:dyDescent="0.55000000000000004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</row>
    <row r="659" spans="1:15" ht="18" x14ac:dyDescent="0.55000000000000004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</row>
    <row r="660" spans="1:15" ht="18" x14ac:dyDescent="0.55000000000000004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</row>
    <row r="661" spans="1:15" ht="18" x14ac:dyDescent="0.55000000000000004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</row>
    <row r="662" spans="1:15" ht="18" x14ac:dyDescent="0.55000000000000004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</row>
    <row r="663" spans="1:15" ht="18" x14ac:dyDescent="0.55000000000000004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</row>
    <row r="664" spans="1:15" ht="18" x14ac:dyDescent="0.55000000000000004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</row>
    <row r="665" spans="1:15" ht="18" x14ac:dyDescent="0.55000000000000004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</row>
    <row r="666" spans="1:15" ht="18" x14ac:dyDescent="0.55000000000000004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</row>
    <row r="667" spans="1:15" ht="18" x14ac:dyDescent="0.55000000000000004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</row>
    <row r="668" spans="1:15" ht="18" x14ac:dyDescent="0.55000000000000004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</row>
    <row r="669" spans="1:15" ht="18" x14ac:dyDescent="0.55000000000000004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</row>
    <row r="670" spans="1:15" ht="18" x14ac:dyDescent="0.55000000000000004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</row>
    <row r="671" spans="1:15" ht="18" x14ac:dyDescent="0.55000000000000004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</row>
    <row r="672" spans="1:15" ht="18" x14ac:dyDescent="0.55000000000000004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</row>
    <row r="673" spans="1:15" ht="18" x14ac:dyDescent="0.55000000000000004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</row>
    <row r="674" spans="1:15" ht="18" x14ac:dyDescent="0.55000000000000004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</row>
    <row r="675" spans="1:15" ht="18" x14ac:dyDescent="0.55000000000000004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</row>
    <row r="676" spans="1:15" ht="18" x14ac:dyDescent="0.55000000000000004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</row>
    <row r="677" spans="1:15" ht="18" x14ac:dyDescent="0.55000000000000004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</row>
    <row r="678" spans="1:15" ht="18" x14ac:dyDescent="0.55000000000000004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</row>
    <row r="679" spans="1:15" ht="18" x14ac:dyDescent="0.55000000000000004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</row>
    <row r="680" spans="1:15" ht="18" x14ac:dyDescent="0.55000000000000004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</row>
    <row r="681" spans="1:15" ht="18" x14ac:dyDescent="0.55000000000000004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</row>
    <row r="682" spans="1:15" ht="18" x14ac:dyDescent="0.55000000000000004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</row>
    <row r="683" spans="1:15" ht="18" x14ac:dyDescent="0.55000000000000004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</row>
    <row r="684" spans="1:15" ht="18" x14ac:dyDescent="0.55000000000000004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</row>
    <row r="685" spans="1:15" ht="18" x14ac:dyDescent="0.55000000000000004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</row>
    <row r="686" spans="1:15" ht="18" x14ac:dyDescent="0.55000000000000004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</row>
    <row r="687" spans="1:15" ht="18" x14ac:dyDescent="0.55000000000000004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</row>
    <row r="688" spans="1:15" ht="18" x14ac:dyDescent="0.55000000000000004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</row>
    <row r="689" spans="1:15" ht="18" x14ac:dyDescent="0.55000000000000004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</row>
    <row r="690" spans="1:15" ht="18" x14ac:dyDescent="0.55000000000000004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</row>
    <row r="691" spans="1:15" ht="18" x14ac:dyDescent="0.55000000000000004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</row>
    <row r="692" spans="1:15" ht="18" x14ac:dyDescent="0.55000000000000004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</row>
    <row r="693" spans="1:15" ht="18" x14ac:dyDescent="0.55000000000000004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</row>
    <row r="694" spans="1:15" ht="18" x14ac:dyDescent="0.55000000000000004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</row>
    <row r="695" spans="1:15" ht="18" x14ac:dyDescent="0.55000000000000004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</row>
    <row r="696" spans="1:15" ht="18" x14ac:dyDescent="0.55000000000000004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</row>
    <row r="697" spans="1:15" ht="18" x14ac:dyDescent="0.55000000000000004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</row>
    <row r="698" spans="1:15" ht="18" x14ac:dyDescent="0.55000000000000004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</row>
    <row r="699" spans="1:15" ht="18" x14ac:dyDescent="0.55000000000000004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</row>
    <row r="700" spans="1:15" ht="18" x14ac:dyDescent="0.55000000000000004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</row>
    <row r="701" spans="1:15" ht="18" x14ac:dyDescent="0.55000000000000004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</row>
    <row r="702" spans="1:15" ht="18" x14ac:dyDescent="0.55000000000000004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</row>
    <row r="703" spans="1:15" ht="18" x14ac:dyDescent="0.55000000000000004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</row>
    <row r="704" spans="1:15" ht="18" x14ac:dyDescent="0.55000000000000004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</row>
    <row r="705" spans="1:15" ht="18" x14ac:dyDescent="0.55000000000000004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</row>
    <row r="706" spans="1:15" ht="18" x14ac:dyDescent="0.55000000000000004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</row>
    <row r="707" spans="1:15" ht="18" x14ac:dyDescent="0.55000000000000004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</row>
    <row r="708" spans="1:15" ht="18" x14ac:dyDescent="0.55000000000000004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</row>
    <row r="709" spans="1:15" ht="18" x14ac:dyDescent="0.55000000000000004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</row>
    <row r="710" spans="1:15" ht="18" x14ac:dyDescent="0.55000000000000004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</row>
    <row r="711" spans="1:15" ht="18" x14ac:dyDescent="0.55000000000000004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</row>
    <row r="712" spans="1:15" ht="18" x14ac:dyDescent="0.55000000000000004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</row>
    <row r="713" spans="1:15" ht="18" x14ac:dyDescent="0.55000000000000004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</row>
    <row r="714" spans="1:15" ht="18" x14ac:dyDescent="0.55000000000000004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</row>
    <row r="715" spans="1:15" ht="18" x14ac:dyDescent="0.55000000000000004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</row>
    <row r="716" spans="1:15" ht="18" x14ac:dyDescent="0.55000000000000004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</row>
    <row r="717" spans="1:15" ht="18" x14ac:dyDescent="0.55000000000000004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</row>
    <row r="718" spans="1:15" ht="18" x14ac:dyDescent="0.55000000000000004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</row>
    <row r="719" spans="1:15" ht="18" x14ac:dyDescent="0.55000000000000004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</row>
    <row r="720" spans="1:15" ht="18" x14ac:dyDescent="0.55000000000000004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</row>
    <row r="721" spans="1:15" ht="18" x14ac:dyDescent="0.55000000000000004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</row>
    <row r="722" spans="1:15" ht="18" x14ac:dyDescent="0.55000000000000004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</row>
    <row r="723" spans="1:15" ht="18" x14ac:dyDescent="0.55000000000000004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</row>
    <row r="724" spans="1:15" ht="18" x14ac:dyDescent="0.55000000000000004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</row>
    <row r="725" spans="1:15" ht="18" x14ac:dyDescent="0.55000000000000004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</row>
    <row r="726" spans="1:15" ht="18" x14ac:dyDescent="0.55000000000000004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</row>
    <row r="727" spans="1:15" ht="18" x14ac:dyDescent="0.55000000000000004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</row>
    <row r="728" spans="1:15" ht="18" x14ac:dyDescent="0.55000000000000004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</row>
    <row r="729" spans="1:15" ht="18" x14ac:dyDescent="0.55000000000000004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</row>
    <row r="730" spans="1:15" ht="18" x14ac:dyDescent="0.55000000000000004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</row>
    <row r="731" spans="1:15" ht="18" x14ac:dyDescent="0.55000000000000004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</row>
    <row r="732" spans="1:15" ht="18" x14ac:dyDescent="0.55000000000000004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</row>
    <row r="733" spans="1:15" ht="18" x14ac:dyDescent="0.55000000000000004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</row>
    <row r="734" spans="1:15" ht="18" x14ac:dyDescent="0.55000000000000004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</row>
    <row r="735" spans="1:15" ht="18" x14ac:dyDescent="0.55000000000000004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</row>
    <row r="736" spans="1:15" ht="18" x14ac:dyDescent="0.55000000000000004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</row>
    <row r="737" spans="1:15" ht="18" x14ac:dyDescent="0.55000000000000004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</row>
    <row r="738" spans="1:15" ht="18" x14ac:dyDescent="0.55000000000000004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</row>
    <row r="739" spans="1:15" ht="18" x14ac:dyDescent="0.55000000000000004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</row>
    <row r="740" spans="1:15" ht="18" x14ac:dyDescent="0.55000000000000004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</row>
    <row r="741" spans="1:15" ht="18" x14ac:dyDescent="0.55000000000000004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</row>
    <row r="742" spans="1:15" ht="18" x14ac:dyDescent="0.55000000000000004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</row>
    <row r="743" spans="1:15" ht="18" x14ac:dyDescent="0.55000000000000004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</row>
    <row r="744" spans="1:15" ht="18" x14ac:dyDescent="0.55000000000000004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</row>
    <row r="745" spans="1:15" ht="18" x14ac:dyDescent="0.55000000000000004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</row>
    <row r="746" spans="1:15" ht="18" x14ac:dyDescent="0.55000000000000004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</row>
    <row r="747" spans="1:15" ht="18" x14ac:dyDescent="0.55000000000000004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</row>
    <row r="748" spans="1:15" ht="18" x14ac:dyDescent="0.55000000000000004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</row>
    <row r="749" spans="1:15" ht="18" x14ac:dyDescent="0.55000000000000004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</row>
    <row r="750" spans="1:15" ht="18" x14ac:dyDescent="0.55000000000000004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</row>
    <row r="751" spans="1:15" ht="18" x14ac:dyDescent="0.55000000000000004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</row>
    <row r="752" spans="1:15" ht="18" x14ac:dyDescent="0.55000000000000004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</row>
    <row r="753" spans="1:15" ht="18" x14ac:dyDescent="0.55000000000000004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</row>
    <row r="754" spans="1:15" ht="18" x14ac:dyDescent="0.55000000000000004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</row>
    <row r="755" spans="1:15" ht="18" x14ac:dyDescent="0.55000000000000004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</row>
    <row r="756" spans="1:15" ht="18" x14ac:dyDescent="0.55000000000000004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</row>
    <row r="757" spans="1:15" ht="18" x14ac:dyDescent="0.55000000000000004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</row>
    <row r="758" spans="1:15" ht="18" x14ac:dyDescent="0.55000000000000004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</row>
    <row r="759" spans="1:15" ht="18" x14ac:dyDescent="0.55000000000000004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</row>
    <row r="760" spans="1:15" ht="18" x14ac:dyDescent="0.55000000000000004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</row>
    <row r="761" spans="1:15" ht="18" x14ac:dyDescent="0.55000000000000004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</row>
    <row r="762" spans="1:15" ht="18" x14ac:dyDescent="0.55000000000000004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</row>
    <row r="763" spans="1:15" ht="18" x14ac:dyDescent="0.55000000000000004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</row>
    <row r="764" spans="1:15" ht="18" x14ac:dyDescent="0.55000000000000004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</row>
    <row r="765" spans="1:15" ht="18" x14ac:dyDescent="0.55000000000000004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</row>
    <row r="766" spans="1:15" ht="18" x14ac:dyDescent="0.55000000000000004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</row>
    <row r="767" spans="1:15" ht="18" x14ac:dyDescent="0.55000000000000004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</row>
    <row r="768" spans="1:15" ht="18" x14ac:dyDescent="0.55000000000000004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</row>
    <row r="769" spans="1:15" ht="18" x14ac:dyDescent="0.55000000000000004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</row>
    <row r="770" spans="1:15" ht="18" x14ac:dyDescent="0.55000000000000004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</row>
    <row r="771" spans="1:15" ht="18" x14ac:dyDescent="0.55000000000000004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</row>
    <row r="772" spans="1:15" ht="18" x14ac:dyDescent="0.55000000000000004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</row>
    <row r="773" spans="1:15" ht="18" x14ac:dyDescent="0.55000000000000004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</row>
    <row r="774" spans="1:15" ht="18" x14ac:dyDescent="0.55000000000000004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</row>
    <row r="775" spans="1:15" ht="18" x14ac:dyDescent="0.55000000000000004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</row>
    <row r="776" spans="1:15" ht="18" x14ac:dyDescent="0.55000000000000004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</row>
    <row r="777" spans="1:15" ht="18" x14ac:dyDescent="0.55000000000000004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</row>
    <row r="778" spans="1:15" ht="18" x14ac:dyDescent="0.55000000000000004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</row>
    <row r="779" spans="1:15" ht="18" x14ac:dyDescent="0.55000000000000004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</row>
    <row r="780" spans="1:15" ht="18" x14ac:dyDescent="0.55000000000000004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</row>
    <row r="781" spans="1:15" ht="18" x14ac:dyDescent="0.55000000000000004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</row>
    <row r="782" spans="1:15" ht="18" x14ac:dyDescent="0.55000000000000004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</row>
    <row r="783" spans="1:15" ht="18" x14ac:dyDescent="0.55000000000000004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</row>
    <row r="784" spans="1:15" ht="18" x14ac:dyDescent="0.55000000000000004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</row>
    <row r="785" spans="1:15" ht="18" x14ac:dyDescent="0.55000000000000004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</row>
    <row r="786" spans="1:15" ht="18" x14ac:dyDescent="0.55000000000000004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</row>
    <row r="787" spans="1:15" ht="18" x14ac:dyDescent="0.55000000000000004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</row>
    <row r="788" spans="1:15" ht="18" x14ac:dyDescent="0.55000000000000004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</row>
    <row r="789" spans="1:15" ht="18" x14ac:dyDescent="0.55000000000000004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</row>
    <row r="790" spans="1:15" ht="18" x14ac:dyDescent="0.55000000000000004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</row>
    <row r="791" spans="1:15" ht="18" x14ac:dyDescent="0.55000000000000004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</row>
    <row r="792" spans="1:15" ht="18" x14ac:dyDescent="0.55000000000000004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</row>
    <row r="793" spans="1:15" ht="18" x14ac:dyDescent="0.55000000000000004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</row>
    <row r="794" spans="1:15" ht="18" x14ac:dyDescent="0.55000000000000004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</row>
    <row r="795" spans="1:15" ht="18" x14ac:dyDescent="0.55000000000000004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</row>
    <row r="796" spans="1:15" ht="18" x14ac:dyDescent="0.55000000000000004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</row>
    <row r="797" spans="1:15" ht="18" x14ac:dyDescent="0.55000000000000004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</row>
    <row r="798" spans="1:15" ht="18" x14ac:dyDescent="0.55000000000000004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</row>
    <row r="799" spans="1:15" ht="18" x14ac:dyDescent="0.55000000000000004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</row>
    <row r="800" spans="1:15" ht="18" x14ac:dyDescent="0.55000000000000004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</row>
    <row r="801" spans="1:15" ht="18" x14ac:dyDescent="0.55000000000000004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</row>
    <row r="802" spans="1:15" ht="18" x14ac:dyDescent="0.55000000000000004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</row>
    <row r="803" spans="1:15" ht="18" x14ac:dyDescent="0.55000000000000004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</row>
    <row r="804" spans="1:15" ht="18" x14ac:dyDescent="0.55000000000000004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</row>
    <row r="805" spans="1:15" ht="18" x14ac:dyDescent="0.55000000000000004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</row>
    <row r="806" spans="1:15" ht="18" x14ac:dyDescent="0.55000000000000004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</row>
    <row r="807" spans="1:15" ht="18" x14ac:dyDescent="0.55000000000000004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</row>
    <row r="808" spans="1:15" ht="18" x14ac:dyDescent="0.55000000000000004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</row>
    <row r="809" spans="1:15" ht="18" x14ac:dyDescent="0.55000000000000004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</row>
    <row r="810" spans="1:15" ht="18" x14ac:dyDescent="0.55000000000000004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</row>
    <row r="811" spans="1:15" ht="18" x14ac:dyDescent="0.55000000000000004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</row>
    <row r="812" spans="1:15" ht="18" x14ac:dyDescent="0.55000000000000004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</row>
    <row r="813" spans="1:15" ht="18" x14ac:dyDescent="0.55000000000000004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</row>
    <row r="814" spans="1:15" ht="18" x14ac:dyDescent="0.55000000000000004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</row>
    <row r="815" spans="1:15" ht="18" x14ac:dyDescent="0.55000000000000004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</row>
    <row r="816" spans="1:15" ht="18" x14ac:dyDescent="0.55000000000000004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</row>
    <row r="817" spans="1:15" ht="18" x14ac:dyDescent="0.55000000000000004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</row>
    <row r="818" spans="1:15" ht="18" x14ac:dyDescent="0.55000000000000004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</row>
    <row r="819" spans="1:15" ht="18" x14ac:dyDescent="0.55000000000000004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</row>
    <row r="820" spans="1:15" ht="18" x14ac:dyDescent="0.55000000000000004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</row>
    <row r="821" spans="1:15" ht="18" x14ac:dyDescent="0.55000000000000004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</row>
    <row r="822" spans="1:15" ht="18" x14ac:dyDescent="0.55000000000000004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</row>
    <row r="823" spans="1:15" ht="18" x14ac:dyDescent="0.55000000000000004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</row>
    <row r="824" spans="1:15" ht="18" x14ac:dyDescent="0.55000000000000004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</row>
    <row r="825" spans="1:15" ht="18" x14ac:dyDescent="0.55000000000000004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</row>
    <row r="826" spans="1:15" ht="18" x14ac:dyDescent="0.55000000000000004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</row>
    <row r="827" spans="1:15" ht="18" x14ac:dyDescent="0.55000000000000004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</row>
    <row r="828" spans="1:15" ht="18" x14ac:dyDescent="0.55000000000000004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</row>
    <row r="829" spans="1:15" ht="18" x14ac:dyDescent="0.55000000000000004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</row>
    <row r="830" spans="1:15" ht="18" x14ac:dyDescent="0.55000000000000004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</row>
    <row r="831" spans="1:15" ht="18" x14ac:dyDescent="0.55000000000000004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</row>
    <row r="832" spans="1:15" ht="18" x14ac:dyDescent="0.55000000000000004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</row>
    <row r="833" spans="1:15" ht="18" x14ac:dyDescent="0.55000000000000004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</row>
    <row r="834" spans="1:15" ht="18" x14ac:dyDescent="0.55000000000000004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</row>
    <row r="835" spans="1:15" ht="18" x14ac:dyDescent="0.55000000000000004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</row>
    <row r="836" spans="1:15" ht="18" x14ac:dyDescent="0.55000000000000004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</row>
    <row r="837" spans="1:15" ht="18" x14ac:dyDescent="0.55000000000000004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</row>
    <row r="838" spans="1:15" ht="18" x14ac:dyDescent="0.55000000000000004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</row>
    <row r="839" spans="1:15" ht="18" x14ac:dyDescent="0.55000000000000004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</row>
    <row r="840" spans="1:15" ht="18" x14ac:dyDescent="0.55000000000000004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</row>
    <row r="841" spans="1:15" ht="18" x14ac:dyDescent="0.55000000000000004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</row>
    <row r="842" spans="1:15" ht="18" x14ac:dyDescent="0.55000000000000004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</row>
    <row r="843" spans="1:15" ht="18" x14ac:dyDescent="0.55000000000000004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</row>
    <row r="844" spans="1:15" ht="18" x14ac:dyDescent="0.55000000000000004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</row>
    <row r="845" spans="1:15" ht="18" x14ac:dyDescent="0.55000000000000004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</row>
    <row r="846" spans="1:15" ht="18" x14ac:dyDescent="0.55000000000000004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</row>
    <row r="847" spans="1:15" ht="18" x14ac:dyDescent="0.55000000000000004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</row>
    <row r="848" spans="1:15" ht="18" x14ac:dyDescent="0.55000000000000004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</row>
    <row r="849" spans="1:15" ht="18" x14ac:dyDescent="0.55000000000000004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</row>
    <row r="850" spans="1:15" ht="18" x14ac:dyDescent="0.55000000000000004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</row>
    <row r="851" spans="1:15" ht="18" x14ac:dyDescent="0.55000000000000004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</row>
    <row r="852" spans="1:15" ht="18" x14ac:dyDescent="0.55000000000000004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</row>
    <row r="853" spans="1:15" ht="18" x14ac:dyDescent="0.55000000000000004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</row>
    <row r="854" spans="1:15" ht="18" x14ac:dyDescent="0.55000000000000004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</row>
    <row r="855" spans="1:15" ht="18" x14ac:dyDescent="0.55000000000000004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</row>
    <row r="856" spans="1:15" ht="18" x14ac:dyDescent="0.55000000000000004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</row>
    <row r="857" spans="1:15" ht="18" x14ac:dyDescent="0.55000000000000004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</row>
    <row r="858" spans="1:15" ht="18" x14ac:dyDescent="0.55000000000000004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</row>
    <row r="859" spans="1:15" ht="18" x14ac:dyDescent="0.55000000000000004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</row>
    <row r="860" spans="1:15" ht="18" x14ac:dyDescent="0.55000000000000004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</row>
    <row r="861" spans="1:15" ht="18" x14ac:dyDescent="0.55000000000000004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</row>
    <row r="862" spans="1:15" ht="18" x14ac:dyDescent="0.55000000000000004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</row>
    <row r="863" spans="1:15" ht="18" x14ac:dyDescent="0.55000000000000004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</row>
    <row r="864" spans="1:15" ht="18" x14ac:dyDescent="0.55000000000000004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</row>
    <row r="865" spans="1:15" ht="18" x14ac:dyDescent="0.55000000000000004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</row>
    <row r="866" spans="1:15" ht="18" x14ac:dyDescent="0.55000000000000004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</row>
    <row r="867" spans="1:15" ht="18" x14ac:dyDescent="0.55000000000000004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</row>
    <row r="868" spans="1:15" ht="18" x14ac:dyDescent="0.55000000000000004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</row>
    <row r="869" spans="1:15" ht="18" x14ac:dyDescent="0.55000000000000004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</row>
    <row r="870" spans="1:15" ht="18" x14ac:dyDescent="0.55000000000000004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</row>
    <row r="871" spans="1:15" ht="18" x14ac:dyDescent="0.55000000000000004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</row>
    <row r="872" spans="1:15" ht="18" x14ac:dyDescent="0.55000000000000004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</row>
    <row r="873" spans="1:15" ht="18" x14ac:dyDescent="0.55000000000000004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</row>
    <row r="874" spans="1:15" ht="18" x14ac:dyDescent="0.55000000000000004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</row>
    <row r="875" spans="1:15" ht="18" x14ac:dyDescent="0.55000000000000004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</row>
    <row r="876" spans="1:15" ht="18" x14ac:dyDescent="0.55000000000000004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</row>
    <row r="877" spans="1:15" ht="18" x14ac:dyDescent="0.55000000000000004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</row>
    <row r="878" spans="1:15" ht="18" x14ac:dyDescent="0.55000000000000004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</row>
    <row r="879" spans="1:15" ht="18" x14ac:dyDescent="0.55000000000000004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</row>
    <row r="880" spans="1:15" ht="18" x14ac:dyDescent="0.55000000000000004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</row>
    <row r="881" spans="1:15" ht="18" x14ac:dyDescent="0.55000000000000004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</row>
    <row r="882" spans="1:15" ht="18" x14ac:dyDescent="0.55000000000000004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</row>
    <row r="883" spans="1:15" ht="18" x14ac:dyDescent="0.55000000000000004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</row>
    <row r="884" spans="1:15" ht="18" x14ac:dyDescent="0.55000000000000004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</row>
    <row r="885" spans="1:15" ht="18" x14ac:dyDescent="0.55000000000000004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</row>
    <row r="886" spans="1:15" ht="18" x14ac:dyDescent="0.55000000000000004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</row>
    <row r="887" spans="1:15" ht="18" x14ac:dyDescent="0.55000000000000004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</row>
    <row r="888" spans="1:15" ht="18" x14ac:dyDescent="0.55000000000000004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</row>
    <row r="889" spans="1:15" ht="18" x14ac:dyDescent="0.55000000000000004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</row>
    <row r="890" spans="1:15" ht="18" x14ac:dyDescent="0.55000000000000004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</row>
    <row r="891" spans="1:15" ht="18" x14ac:dyDescent="0.55000000000000004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</row>
    <row r="892" spans="1:15" ht="18" x14ac:dyDescent="0.55000000000000004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</row>
    <row r="893" spans="1:15" ht="18" x14ac:dyDescent="0.55000000000000004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</row>
    <row r="894" spans="1:15" ht="18" x14ac:dyDescent="0.55000000000000004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</row>
    <row r="895" spans="1:15" ht="18" x14ac:dyDescent="0.55000000000000004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</row>
    <row r="896" spans="1:15" ht="18" x14ac:dyDescent="0.55000000000000004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</row>
    <row r="897" spans="1:15" ht="18" x14ac:dyDescent="0.55000000000000004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</row>
    <row r="898" spans="1:15" ht="18" x14ac:dyDescent="0.55000000000000004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</row>
    <row r="899" spans="1:15" ht="18" x14ac:dyDescent="0.55000000000000004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</row>
    <row r="900" spans="1:15" ht="18" x14ac:dyDescent="0.55000000000000004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</row>
    <row r="901" spans="1:15" ht="18" x14ac:dyDescent="0.55000000000000004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</row>
    <row r="902" spans="1:15" ht="18" x14ac:dyDescent="0.55000000000000004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</row>
    <row r="903" spans="1:15" ht="18" x14ac:dyDescent="0.55000000000000004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</row>
    <row r="904" spans="1:15" ht="18" x14ac:dyDescent="0.55000000000000004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</row>
    <row r="905" spans="1:15" ht="18" x14ac:dyDescent="0.55000000000000004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</row>
    <row r="906" spans="1:15" ht="18" x14ac:dyDescent="0.55000000000000004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</row>
    <row r="907" spans="1:15" ht="18" x14ac:dyDescent="0.55000000000000004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</row>
    <row r="908" spans="1:15" ht="18" x14ac:dyDescent="0.55000000000000004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</row>
    <row r="909" spans="1:15" ht="18" x14ac:dyDescent="0.55000000000000004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</row>
    <row r="910" spans="1:15" ht="18" x14ac:dyDescent="0.55000000000000004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</row>
    <row r="911" spans="1:15" ht="18" x14ac:dyDescent="0.55000000000000004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</row>
    <row r="912" spans="1:15" ht="18" x14ac:dyDescent="0.55000000000000004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</row>
    <row r="913" spans="1:15" ht="18" x14ac:dyDescent="0.55000000000000004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</row>
    <row r="914" spans="1:15" ht="18" x14ac:dyDescent="0.55000000000000004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</row>
    <row r="915" spans="1:15" ht="18" x14ac:dyDescent="0.55000000000000004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</row>
    <row r="916" spans="1:15" ht="18" x14ac:dyDescent="0.55000000000000004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</row>
    <row r="917" spans="1:15" ht="18" x14ac:dyDescent="0.55000000000000004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</row>
    <row r="918" spans="1:15" ht="18" x14ac:dyDescent="0.55000000000000004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</row>
    <row r="919" spans="1:15" ht="18" x14ac:dyDescent="0.55000000000000004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</row>
    <row r="920" spans="1:15" ht="18" x14ac:dyDescent="0.55000000000000004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</row>
    <row r="921" spans="1:15" ht="18" x14ac:dyDescent="0.55000000000000004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</row>
    <row r="922" spans="1:15" ht="18" x14ac:dyDescent="0.55000000000000004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</row>
    <row r="923" spans="1:15" ht="18" x14ac:dyDescent="0.55000000000000004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</row>
    <row r="924" spans="1:15" ht="18" x14ac:dyDescent="0.55000000000000004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</row>
    <row r="925" spans="1:15" ht="18" x14ac:dyDescent="0.55000000000000004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</row>
    <row r="926" spans="1:15" ht="18" x14ac:dyDescent="0.55000000000000004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</row>
    <row r="927" spans="1:15" ht="18" x14ac:dyDescent="0.55000000000000004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</row>
    <row r="928" spans="1:15" ht="18" x14ac:dyDescent="0.55000000000000004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</row>
    <row r="929" spans="1:15" ht="18" x14ac:dyDescent="0.55000000000000004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</row>
    <row r="930" spans="1:15" ht="18" x14ac:dyDescent="0.55000000000000004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</row>
    <row r="931" spans="1:15" ht="18" x14ac:dyDescent="0.55000000000000004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</row>
    <row r="932" spans="1:15" ht="18" x14ac:dyDescent="0.55000000000000004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</row>
    <row r="933" spans="1:15" ht="18" x14ac:dyDescent="0.55000000000000004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</row>
    <row r="934" spans="1:15" ht="18" x14ac:dyDescent="0.55000000000000004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</row>
    <row r="935" spans="1:15" ht="18" x14ac:dyDescent="0.55000000000000004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</row>
    <row r="936" spans="1:15" ht="18" x14ac:dyDescent="0.55000000000000004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</row>
    <row r="937" spans="1:15" ht="18" x14ac:dyDescent="0.55000000000000004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</row>
    <row r="938" spans="1:15" ht="18" x14ac:dyDescent="0.55000000000000004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</row>
    <row r="939" spans="1:15" ht="18" x14ac:dyDescent="0.55000000000000004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</row>
    <row r="940" spans="1:15" ht="18" x14ac:dyDescent="0.55000000000000004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</row>
    <row r="941" spans="1:15" ht="18" x14ac:dyDescent="0.55000000000000004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</row>
    <row r="942" spans="1:15" ht="18" x14ac:dyDescent="0.55000000000000004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</row>
    <row r="943" spans="1:15" ht="18" x14ac:dyDescent="0.55000000000000004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</row>
    <row r="944" spans="1:15" ht="18" x14ac:dyDescent="0.55000000000000004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</row>
    <row r="945" spans="1:15" ht="18" x14ac:dyDescent="0.55000000000000004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</row>
    <row r="946" spans="1:15" ht="18" x14ac:dyDescent="0.55000000000000004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</row>
    <row r="947" spans="1:15" ht="18" x14ac:dyDescent="0.55000000000000004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</row>
    <row r="948" spans="1:15" ht="18" x14ac:dyDescent="0.55000000000000004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</row>
    <row r="949" spans="1:15" ht="18" x14ac:dyDescent="0.55000000000000004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</row>
    <row r="950" spans="1:15" ht="18" x14ac:dyDescent="0.55000000000000004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</row>
    <row r="951" spans="1:15" ht="18" x14ac:dyDescent="0.55000000000000004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</row>
    <row r="952" spans="1:15" ht="18" x14ac:dyDescent="0.55000000000000004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</row>
    <row r="953" spans="1:15" ht="18" x14ac:dyDescent="0.55000000000000004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</row>
    <row r="954" spans="1:15" ht="18" x14ac:dyDescent="0.55000000000000004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</row>
    <row r="955" spans="1:15" ht="18" x14ac:dyDescent="0.55000000000000004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</row>
    <row r="956" spans="1:15" ht="18" x14ac:dyDescent="0.55000000000000004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</row>
    <row r="957" spans="1:15" ht="18" x14ac:dyDescent="0.55000000000000004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</row>
    <row r="958" spans="1:15" ht="18" x14ac:dyDescent="0.55000000000000004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</row>
    <row r="959" spans="1:15" ht="18" x14ac:dyDescent="0.55000000000000004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</row>
    <row r="960" spans="1:15" ht="18" x14ac:dyDescent="0.55000000000000004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</row>
    <row r="961" spans="1:15" ht="18" x14ac:dyDescent="0.55000000000000004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</row>
    <row r="962" spans="1:15" ht="18" x14ac:dyDescent="0.55000000000000004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</row>
    <row r="963" spans="1:15" ht="18" x14ac:dyDescent="0.55000000000000004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</row>
    <row r="964" spans="1:15" ht="18" x14ac:dyDescent="0.55000000000000004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</row>
    <row r="965" spans="1:15" ht="18" x14ac:dyDescent="0.55000000000000004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</row>
    <row r="966" spans="1:15" ht="18" x14ac:dyDescent="0.55000000000000004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</row>
    <row r="967" spans="1:15" ht="18" x14ac:dyDescent="0.55000000000000004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</row>
    <row r="968" spans="1:15" ht="18" x14ac:dyDescent="0.55000000000000004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</row>
    <row r="969" spans="1:15" ht="18" x14ac:dyDescent="0.55000000000000004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</row>
    <row r="970" spans="1:15" ht="18" x14ac:dyDescent="0.55000000000000004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</row>
    <row r="971" spans="1:15" ht="18" x14ac:dyDescent="0.55000000000000004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</row>
    <row r="972" spans="1:15" ht="18" x14ac:dyDescent="0.55000000000000004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</row>
    <row r="973" spans="1:15" ht="18" x14ac:dyDescent="0.55000000000000004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</row>
    <row r="974" spans="1:15" ht="18" x14ac:dyDescent="0.55000000000000004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</row>
    <row r="975" spans="1:15" ht="18" x14ac:dyDescent="0.55000000000000004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</row>
    <row r="976" spans="1:15" ht="18" x14ac:dyDescent="0.55000000000000004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</row>
    <row r="977" spans="1:15" ht="18" x14ac:dyDescent="0.55000000000000004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</row>
    <row r="978" spans="1:15" ht="18" x14ac:dyDescent="0.55000000000000004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</row>
    <row r="979" spans="1:15" ht="18" x14ac:dyDescent="0.55000000000000004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</row>
    <row r="980" spans="1:15" ht="18" x14ac:dyDescent="0.55000000000000004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</row>
    <row r="981" spans="1:15" ht="18" x14ac:dyDescent="0.55000000000000004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</row>
    <row r="982" spans="1:15" ht="18" x14ac:dyDescent="0.55000000000000004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</row>
    <row r="983" spans="1:15" ht="18" x14ac:dyDescent="0.55000000000000004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</row>
    <row r="984" spans="1:15" ht="18" x14ac:dyDescent="0.55000000000000004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</row>
    <row r="985" spans="1:15" ht="18" x14ac:dyDescent="0.55000000000000004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</row>
    <row r="986" spans="1:15" ht="18" x14ac:dyDescent="0.55000000000000004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</row>
    <row r="987" spans="1:15" ht="18" x14ac:dyDescent="0.55000000000000004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</row>
    <row r="988" spans="1:15" ht="18" x14ac:dyDescent="0.55000000000000004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</row>
    <row r="989" spans="1:15" ht="18" x14ac:dyDescent="0.55000000000000004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</row>
    <row r="990" spans="1:15" ht="18" x14ac:dyDescent="0.55000000000000004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</row>
    <row r="991" spans="1:15" ht="18" x14ac:dyDescent="0.55000000000000004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</row>
    <row r="992" spans="1:15" ht="18" x14ac:dyDescent="0.55000000000000004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</row>
    <row r="993" spans="1:15" ht="18" x14ac:dyDescent="0.55000000000000004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</row>
    <row r="994" spans="1:15" ht="18" x14ac:dyDescent="0.55000000000000004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</row>
    <row r="995" spans="1:15" ht="18" x14ac:dyDescent="0.55000000000000004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</row>
    <row r="996" spans="1:15" ht="18" x14ac:dyDescent="0.55000000000000004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</row>
    <row r="997" spans="1:15" ht="18" x14ac:dyDescent="0.55000000000000004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</row>
    <row r="998" spans="1:15" ht="18" x14ac:dyDescent="0.55000000000000004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</row>
    <row r="999" spans="1:15" ht="18" x14ac:dyDescent="0.55000000000000004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</row>
    <row r="1000" spans="1:15" ht="18" x14ac:dyDescent="0.55000000000000004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</row>
    <row r="1001" spans="1:15" ht="18" x14ac:dyDescent="0.55000000000000004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</row>
    <row r="1002" spans="1:15" ht="18" x14ac:dyDescent="0.55000000000000004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</row>
    <row r="1003" spans="1:15" ht="18" x14ac:dyDescent="0.55000000000000004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</row>
    <row r="1004" spans="1:15" ht="18" x14ac:dyDescent="0.55000000000000004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</row>
    <row r="1005" spans="1:15" ht="18" x14ac:dyDescent="0.55000000000000004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</row>
    <row r="1006" spans="1:15" ht="18" x14ac:dyDescent="0.55000000000000004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</row>
    <row r="1007" spans="1:15" ht="18" x14ac:dyDescent="0.55000000000000004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</row>
    <row r="1008" spans="1:15" ht="18" x14ac:dyDescent="0.55000000000000004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</row>
    <row r="1009" spans="1:15" ht="18" x14ac:dyDescent="0.55000000000000004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</row>
    <row r="1010" spans="1:15" ht="18" x14ac:dyDescent="0.55000000000000004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</row>
    <row r="1011" spans="1:15" ht="18" x14ac:dyDescent="0.55000000000000004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</row>
    <row r="1012" spans="1:15" ht="18" x14ac:dyDescent="0.55000000000000004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</row>
    <row r="1013" spans="1:15" ht="18" x14ac:dyDescent="0.55000000000000004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</row>
    <row r="1014" spans="1:15" ht="18" x14ac:dyDescent="0.55000000000000004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</row>
    <row r="1015" spans="1:15" ht="18" x14ac:dyDescent="0.55000000000000004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</row>
    <row r="1016" spans="1:15" ht="18" x14ac:dyDescent="0.55000000000000004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</row>
    <row r="1017" spans="1:15" ht="18" x14ac:dyDescent="0.55000000000000004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</row>
    <row r="1018" spans="1:15" ht="18" x14ac:dyDescent="0.55000000000000004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</row>
    <row r="1019" spans="1:15" ht="18" x14ac:dyDescent="0.55000000000000004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</row>
    <row r="1020" spans="1:15" ht="18" x14ac:dyDescent="0.55000000000000004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</row>
    <row r="1021" spans="1:15" ht="18" x14ac:dyDescent="0.55000000000000004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</row>
    <row r="1022" spans="1:15" ht="18" x14ac:dyDescent="0.55000000000000004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</row>
    <row r="1023" spans="1:15" ht="18" x14ac:dyDescent="0.55000000000000004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</row>
    <row r="1024" spans="1:15" ht="18" x14ac:dyDescent="0.55000000000000004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</row>
    <row r="1025" spans="1:15" ht="18" x14ac:dyDescent="0.55000000000000004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</row>
    <row r="1026" spans="1:15" ht="18" x14ac:dyDescent="0.55000000000000004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</row>
    <row r="1027" spans="1:15" ht="18" x14ac:dyDescent="0.55000000000000004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</row>
    <row r="1028" spans="1:15" ht="18" x14ac:dyDescent="0.55000000000000004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</row>
    <row r="1029" spans="1:15" ht="18" x14ac:dyDescent="0.55000000000000004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</row>
    <row r="1030" spans="1:15" ht="18" x14ac:dyDescent="0.55000000000000004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</row>
    <row r="1031" spans="1:15" ht="18" x14ac:dyDescent="0.55000000000000004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</row>
    <row r="1032" spans="1:15" ht="18" x14ac:dyDescent="0.55000000000000004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</row>
    <row r="1033" spans="1:15" ht="18" x14ac:dyDescent="0.55000000000000004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</row>
    <row r="1034" spans="1:15" ht="18" x14ac:dyDescent="0.55000000000000004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</row>
    <row r="1035" spans="1:15" ht="18" x14ac:dyDescent="0.55000000000000004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</row>
    <row r="1036" spans="1:15" ht="18" x14ac:dyDescent="0.55000000000000004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</row>
    <row r="1037" spans="1:15" ht="18" x14ac:dyDescent="0.55000000000000004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</row>
    <row r="1038" spans="1:15" ht="18" x14ac:dyDescent="0.55000000000000004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</row>
    <row r="1039" spans="1:15" ht="18" x14ac:dyDescent="0.55000000000000004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</row>
    <row r="1040" spans="1:15" ht="18" x14ac:dyDescent="0.55000000000000004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</row>
    <row r="1041" spans="1:15" ht="18" x14ac:dyDescent="0.55000000000000004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</row>
    <row r="1042" spans="1:15" ht="18" x14ac:dyDescent="0.55000000000000004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</row>
    <row r="1043" spans="1:15" ht="18" x14ac:dyDescent="0.55000000000000004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</row>
    <row r="1044" spans="1:15" ht="18" x14ac:dyDescent="0.55000000000000004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</row>
    <row r="1045" spans="1:15" ht="18" x14ac:dyDescent="0.55000000000000004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</row>
    <row r="1046" spans="1:15" ht="18" x14ac:dyDescent="0.55000000000000004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</row>
    <row r="1047" spans="1:15" ht="18" x14ac:dyDescent="0.55000000000000004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</row>
    <row r="1048" spans="1:15" ht="18" x14ac:dyDescent="0.55000000000000004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</row>
    <row r="1049" spans="1:15" ht="18" x14ac:dyDescent="0.55000000000000004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</row>
    <row r="1050" spans="1:15" ht="18" x14ac:dyDescent="0.55000000000000004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</row>
    <row r="1051" spans="1:15" ht="18" x14ac:dyDescent="0.55000000000000004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</row>
    <row r="1052" spans="1:15" ht="18" x14ac:dyDescent="0.55000000000000004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</row>
    <row r="1053" spans="1:15" ht="18" x14ac:dyDescent="0.55000000000000004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</row>
    <row r="1054" spans="1:15" ht="18" x14ac:dyDescent="0.55000000000000004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</row>
    <row r="1055" spans="1:15" ht="18" x14ac:dyDescent="0.55000000000000004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</row>
    <row r="1056" spans="1:15" ht="18" x14ac:dyDescent="0.55000000000000004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</row>
    <row r="1057" spans="1:15" ht="18" x14ac:dyDescent="0.55000000000000004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</row>
    <row r="1058" spans="1:15" ht="18" x14ac:dyDescent="0.55000000000000004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</row>
    <row r="1059" spans="1:15" ht="18" x14ac:dyDescent="0.55000000000000004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</row>
    <row r="1060" spans="1:15" ht="18" x14ac:dyDescent="0.55000000000000004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</row>
    <row r="1061" spans="1:15" ht="18" x14ac:dyDescent="0.55000000000000004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</row>
    <row r="1062" spans="1:15" ht="18" x14ac:dyDescent="0.55000000000000004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</row>
    <row r="1063" spans="1:15" ht="18" x14ac:dyDescent="0.55000000000000004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</row>
    <row r="1064" spans="1:15" ht="18" x14ac:dyDescent="0.55000000000000004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</row>
    <row r="1065" spans="1:15" ht="18" x14ac:dyDescent="0.55000000000000004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</row>
    <row r="1066" spans="1:15" ht="18" x14ac:dyDescent="0.55000000000000004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</row>
    <row r="1067" spans="1:15" ht="18" x14ac:dyDescent="0.55000000000000004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</row>
    <row r="1068" spans="1:15" ht="18" x14ac:dyDescent="0.55000000000000004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</row>
    <row r="1069" spans="1:15" ht="18" x14ac:dyDescent="0.55000000000000004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</row>
    <row r="1070" spans="1:15" ht="18" x14ac:dyDescent="0.55000000000000004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</row>
    <row r="1071" spans="1:15" ht="18" x14ac:dyDescent="0.55000000000000004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</row>
    <row r="1072" spans="1:15" ht="18" x14ac:dyDescent="0.55000000000000004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</row>
    <row r="1073" spans="1:15" ht="18" x14ac:dyDescent="0.55000000000000004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</row>
    <row r="1074" spans="1:15" ht="18" x14ac:dyDescent="0.55000000000000004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</row>
    <row r="1075" spans="1:15" ht="18" x14ac:dyDescent="0.55000000000000004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</row>
    <row r="1076" spans="1:15" ht="18" x14ac:dyDescent="0.55000000000000004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</row>
    <row r="1077" spans="1:15" ht="18" x14ac:dyDescent="0.55000000000000004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</row>
    <row r="1078" spans="1:15" ht="18" x14ac:dyDescent="0.55000000000000004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</row>
    <row r="1079" spans="1:15" ht="18" x14ac:dyDescent="0.55000000000000004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</row>
    <row r="1080" spans="1:15" ht="18" x14ac:dyDescent="0.55000000000000004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</row>
    <row r="1081" spans="1:15" ht="18" x14ac:dyDescent="0.55000000000000004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</row>
    <row r="1082" spans="1:15" ht="18" x14ac:dyDescent="0.55000000000000004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</row>
    <row r="1083" spans="1:15" ht="18" x14ac:dyDescent="0.55000000000000004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</row>
    <row r="1084" spans="1:15" ht="18" x14ac:dyDescent="0.55000000000000004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</row>
    <row r="1085" spans="1:15" ht="18" x14ac:dyDescent="0.55000000000000004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</row>
    <row r="1086" spans="1:15" ht="18" x14ac:dyDescent="0.55000000000000004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</row>
    <row r="1087" spans="1:15" ht="18" x14ac:dyDescent="0.55000000000000004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</row>
    <row r="1088" spans="1:15" ht="18" x14ac:dyDescent="0.55000000000000004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</row>
    <row r="1089" spans="1:15" ht="18" x14ac:dyDescent="0.55000000000000004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</row>
    <row r="1090" spans="1:15" ht="18" x14ac:dyDescent="0.55000000000000004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</row>
    <row r="1091" spans="1:15" ht="18" x14ac:dyDescent="0.55000000000000004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</row>
    <row r="1092" spans="1:15" ht="18" x14ac:dyDescent="0.55000000000000004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</row>
    <row r="1093" spans="1:15" ht="18" x14ac:dyDescent="0.55000000000000004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</row>
    <row r="1094" spans="1:15" ht="18" x14ac:dyDescent="0.55000000000000004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</row>
    <row r="1095" spans="1:15" ht="18" x14ac:dyDescent="0.55000000000000004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</row>
    <row r="1096" spans="1:15" ht="18" x14ac:dyDescent="0.55000000000000004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</row>
    <row r="1097" spans="1:15" ht="18" x14ac:dyDescent="0.55000000000000004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</row>
    <row r="1098" spans="1:15" ht="18" x14ac:dyDescent="0.55000000000000004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</row>
    <row r="1099" spans="1:15" ht="18" x14ac:dyDescent="0.55000000000000004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</row>
    <row r="1100" spans="1:15" ht="18" x14ac:dyDescent="0.55000000000000004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</row>
    <row r="1101" spans="1:15" ht="18" x14ac:dyDescent="0.55000000000000004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</row>
    <row r="1102" spans="1:15" ht="18" x14ac:dyDescent="0.55000000000000004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</row>
    <row r="1103" spans="1:15" ht="18" x14ac:dyDescent="0.55000000000000004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</row>
    <row r="1104" spans="1:15" ht="18" x14ac:dyDescent="0.55000000000000004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</row>
    <row r="1105" spans="1:15" ht="18" x14ac:dyDescent="0.55000000000000004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</row>
    <row r="1106" spans="1:15" ht="18" x14ac:dyDescent="0.55000000000000004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</row>
    <row r="1107" spans="1:15" ht="18" x14ac:dyDescent="0.55000000000000004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</row>
    <row r="1108" spans="1:15" ht="18" x14ac:dyDescent="0.55000000000000004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</row>
    <row r="1109" spans="1:15" ht="18" x14ac:dyDescent="0.55000000000000004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</row>
    <row r="1110" spans="1:15" ht="18" x14ac:dyDescent="0.55000000000000004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</row>
    <row r="1111" spans="1:15" ht="18" x14ac:dyDescent="0.55000000000000004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</row>
    <row r="1112" spans="1:15" ht="18" x14ac:dyDescent="0.55000000000000004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</row>
    <row r="1113" spans="1:15" ht="18" x14ac:dyDescent="0.55000000000000004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</row>
    <row r="1114" spans="1:15" ht="18" x14ac:dyDescent="0.55000000000000004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</row>
    <row r="1115" spans="1:15" ht="18" x14ac:dyDescent="0.55000000000000004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</row>
    <row r="1116" spans="1:15" ht="18" x14ac:dyDescent="0.55000000000000004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</row>
    <row r="1117" spans="1:15" ht="18" x14ac:dyDescent="0.55000000000000004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</row>
    <row r="1118" spans="1:15" ht="18" x14ac:dyDescent="0.55000000000000004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</row>
    <row r="1119" spans="1:15" ht="18" x14ac:dyDescent="0.55000000000000004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</row>
    <row r="1120" spans="1:15" ht="18" x14ac:dyDescent="0.55000000000000004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</row>
    <row r="1121" spans="1:15" ht="18" x14ac:dyDescent="0.55000000000000004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</row>
    <row r="1122" spans="1:15" ht="18" x14ac:dyDescent="0.55000000000000004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</row>
    <row r="1123" spans="1:15" ht="18" x14ac:dyDescent="0.55000000000000004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</row>
    <row r="1124" spans="1:15" ht="18" x14ac:dyDescent="0.55000000000000004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</row>
    <row r="1125" spans="1:15" ht="18" x14ac:dyDescent="0.55000000000000004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</row>
    <row r="1126" spans="1:15" ht="18" x14ac:dyDescent="0.55000000000000004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</row>
    <row r="1127" spans="1:15" ht="18" x14ac:dyDescent="0.55000000000000004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</row>
    <row r="1128" spans="1:15" ht="18" x14ac:dyDescent="0.55000000000000004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</row>
    <row r="1129" spans="1:15" ht="18" x14ac:dyDescent="0.55000000000000004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</row>
    <row r="1130" spans="1:15" ht="18" x14ac:dyDescent="0.55000000000000004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</row>
    <row r="1131" spans="1:15" ht="18" x14ac:dyDescent="0.55000000000000004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</row>
    <row r="1132" spans="1:15" ht="18" x14ac:dyDescent="0.55000000000000004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</row>
    <row r="1133" spans="1:15" ht="18" x14ac:dyDescent="0.55000000000000004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</row>
    <row r="1134" spans="1:15" ht="18" x14ac:dyDescent="0.55000000000000004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</row>
    <row r="1135" spans="1:15" ht="18" x14ac:dyDescent="0.55000000000000004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</row>
    <row r="1136" spans="1:15" ht="18" x14ac:dyDescent="0.55000000000000004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</row>
    <row r="1137" spans="1:15" ht="18" x14ac:dyDescent="0.55000000000000004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</row>
    <row r="1138" spans="1:15" ht="18" x14ac:dyDescent="0.55000000000000004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</row>
    <row r="1139" spans="1:15" ht="18" x14ac:dyDescent="0.55000000000000004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</row>
    <row r="1140" spans="1:15" ht="18" x14ac:dyDescent="0.55000000000000004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</row>
    <row r="1141" spans="1:15" ht="18" x14ac:dyDescent="0.55000000000000004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</row>
    <row r="1142" spans="1:15" ht="18" x14ac:dyDescent="0.55000000000000004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</row>
    <row r="1143" spans="1:15" ht="18" x14ac:dyDescent="0.55000000000000004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</row>
    <row r="1144" spans="1:15" ht="18" x14ac:dyDescent="0.55000000000000004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</row>
    <row r="1145" spans="1:15" ht="18" x14ac:dyDescent="0.55000000000000004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</row>
    <row r="1146" spans="1:15" ht="18" x14ac:dyDescent="0.55000000000000004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</row>
    <row r="1147" spans="1:15" ht="18" x14ac:dyDescent="0.55000000000000004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</row>
    <row r="1148" spans="1:15" ht="18" x14ac:dyDescent="0.55000000000000004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</row>
    <row r="1149" spans="1:15" ht="18" x14ac:dyDescent="0.55000000000000004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</row>
    <row r="1150" spans="1:15" ht="18" x14ac:dyDescent="0.55000000000000004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</row>
    <row r="1151" spans="1:15" ht="18" x14ac:dyDescent="0.55000000000000004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</row>
    <row r="1152" spans="1:15" ht="18" x14ac:dyDescent="0.55000000000000004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</row>
    <row r="1153" spans="1:15" ht="18" x14ac:dyDescent="0.55000000000000004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</row>
    <row r="1154" spans="1:15" ht="18" x14ac:dyDescent="0.55000000000000004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</row>
    <row r="1155" spans="1:15" ht="18" x14ac:dyDescent="0.55000000000000004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</row>
    <row r="1156" spans="1:15" ht="18" x14ac:dyDescent="0.55000000000000004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</row>
    <row r="1157" spans="1:15" ht="18" x14ac:dyDescent="0.55000000000000004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</row>
    <row r="1158" spans="1:15" ht="18" x14ac:dyDescent="0.55000000000000004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</row>
    <row r="1159" spans="1:15" ht="18" x14ac:dyDescent="0.55000000000000004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</row>
    <row r="1160" spans="1:15" ht="18" x14ac:dyDescent="0.55000000000000004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</row>
    <row r="1161" spans="1:15" ht="18" x14ac:dyDescent="0.55000000000000004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</row>
    <row r="1162" spans="1:15" ht="18" x14ac:dyDescent="0.55000000000000004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</row>
    <row r="1163" spans="1:15" ht="18" x14ac:dyDescent="0.55000000000000004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</row>
    <row r="1164" spans="1:15" ht="18" x14ac:dyDescent="0.55000000000000004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</row>
    <row r="1165" spans="1:15" ht="18" x14ac:dyDescent="0.55000000000000004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</row>
    <row r="1166" spans="1:15" ht="18" x14ac:dyDescent="0.55000000000000004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</row>
    <row r="1167" spans="1:15" ht="18" x14ac:dyDescent="0.55000000000000004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</row>
    <row r="1168" spans="1:15" ht="18" x14ac:dyDescent="0.55000000000000004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</row>
    <row r="1169" spans="1:15" ht="18" x14ac:dyDescent="0.55000000000000004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</row>
    <row r="1170" spans="1:15" ht="18" x14ac:dyDescent="0.55000000000000004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</row>
    <row r="1171" spans="1:15" ht="18" x14ac:dyDescent="0.55000000000000004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</row>
    <row r="1172" spans="1:15" ht="18" x14ac:dyDescent="0.55000000000000004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</row>
    <row r="1173" spans="1:15" ht="18" x14ac:dyDescent="0.55000000000000004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</row>
    <row r="1174" spans="1:15" ht="18" x14ac:dyDescent="0.55000000000000004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</row>
    <row r="1175" spans="1:15" ht="18" x14ac:dyDescent="0.55000000000000004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</row>
    <row r="1176" spans="1:15" ht="18" x14ac:dyDescent="0.55000000000000004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</row>
    <row r="1177" spans="1:15" ht="18" x14ac:dyDescent="0.55000000000000004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</row>
    <row r="1178" spans="1:15" ht="18" x14ac:dyDescent="0.55000000000000004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</row>
    <row r="1179" spans="1:15" ht="18" x14ac:dyDescent="0.55000000000000004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</row>
    <row r="1180" spans="1:15" ht="18" x14ac:dyDescent="0.55000000000000004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</row>
    <row r="1181" spans="1:15" ht="18" x14ac:dyDescent="0.55000000000000004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</row>
    <row r="1182" spans="1:15" ht="18" x14ac:dyDescent="0.55000000000000004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</row>
    <row r="1183" spans="1:15" ht="18" x14ac:dyDescent="0.55000000000000004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</row>
    <row r="1184" spans="1:15" ht="18" x14ac:dyDescent="0.55000000000000004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</row>
    <row r="1185" spans="1:15" ht="18" x14ac:dyDescent="0.55000000000000004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</row>
    <row r="1186" spans="1:15" ht="18" x14ac:dyDescent="0.55000000000000004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</row>
    <row r="1187" spans="1:15" ht="18" x14ac:dyDescent="0.55000000000000004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</row>
    <row r="1188" spans="1:15" ht="18" x14ac:dyDescent="0.55000000000000004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</row>
    <row r="1189" spans="1:15" ht="18" x14ac:dyDescent="0.55000000000000004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</row>
    <row r="1190" spans="1:15" ht="18" x14ac:dyDescent="0.55000000000000004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</row>
    <row r="1191" spans="1:15" ht="18" x14ac:dyDescent="0.55000000000000004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</row>
    <row r="1192" spans="1:15" ht="18" x14ac:dyDescent="0.55000000000000004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</row>
    <row r="1193" spans="1:15" ht="18" x14ac:dyDescent="0.55000000000000004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</row>
    <row r="1194" spans="1:15" ht="18" x14ac:dyDescent="0.55000000000000004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</row>
    <row r="1195" spans="1:15" ht="18" x14ac:dyDescent="0.55000000000000004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</row>
    <row r="1196" spans="1:15" ht="18" x14ac:dyDescent="0.55000000000000004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</row>
    <row r="1197" spans="1:15" ht="18" x14ac:dyDescent="0.55000000000000004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</row>
    <row r="1198" spans="1:15" ht="18" x14ac:dyDescent="0.55000000000000004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</row>
    <row r="1199" spans="1:15" ht="18" x14ac:dyDescent="0.55000000000000004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</row>
    <row r="1200" spans="1:15" ht="18" x14ac:dyDescent="0.55000000000000004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</row>
    <row r="1201" spans="1:15" ht="18" x14ac:dyDescent="0.55000000000000004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</row>
    <row r="1202" spans="1:15" ht="18" x14ac:dyDescent="0.55000000000000004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</row>
    <row r="1203" spans="1:15" ht="18" x14ac:dyDescent="0.55000000000000004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</row>
    <row r="1204" spans="1:15" ht="18" x14ac:dyDescent="0.55000000000000004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</row>
    <row r="1205" spans="1:15" ht="18" x14ac:dyDescent="0.55000000000000004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</row>
    <row r="1206" spans="1:15" ht="18" x14ac:dyDescent="0.55000000000000004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</row>
    <row r="1207" spans="1:15" ht="18" x14ac:dyDescent="0.55000000000000004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</row>
    <row r="1208" spans="1:15" ht="18" x14ac:dyDescent="0.55000000000000004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</row>
    <row r="1209" spans="1:15" ht="18" x14ac:dyDescent="0.55000000000000004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</row>
    <row r="1210" spans="1:15" ht="18" x14ac:dyDescent="0.55000000000000004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</row>
    <row r="1211" spans="1:15" ht="18" x14ac:dyDescent="0.55000000000000004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</row>
    <row r="1212" spans="1:15" ht="18" x14ac:dyDescent="0.55000000000000004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</row>
    <row r="1213" spans="1:15" ht="18" x14ac:dyDescent="0.55000000000000004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</row>
    <row r="1214" spans="1:15" ht="18" x14ac:dyDescent="0.55000000000000004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</row>
    <row r="1215" spans="1:15" ht="18" x14ac:dyDescent="0.55000000000000004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</row>
    <row r="1216" spans="1:15" ht="18" x14ac:dyDescent="0.55000000000000004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</row>
    <row r="1217" spans="1:15" ht="18" x14ac:dyDescent="0.55000000000000004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</row>
    <row r="1218" spans="1:15" ht="18" x14ac:dyDescent="0.55000000000000004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</row>
    <row r="1219" spans="1:15" ht="18" x14ac:dyDescent="0.55000000000000004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</row>
    <row r="1220" spans="1:15" ht="18" x14ac:dyDescent="0.55000000000000004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</row>
    <row r="1221" spans="1:15" ht="18" x14ac:dyDescent="0.55000000000000004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</row>
    <row r="1222" spans="1:15" ht="18" x14ac:dyDescent="0.55000000000000004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</row>
    <row r="1223" spans="1:15" ht="18" x14ac:dyDescent="0.55000000000000004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</row>
    <row r="1224" spans="1:15" ht="18" x14ac:dyDescent="0.55000000000000004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</row>
    <row r="1225" spans="1:15" ht="18" x14ac:dyDescent="0.55000000000000004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</row>
    <row r="1226" spans="1:15" ht="18" x14ac:dyDescent="0.55000000000000004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</row>
    <row r="1227" spans="1:15" ht="18" x14ac:dyDescent="0.55000000000000004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</row>
    <row r="1228" spans="1:15" ht="18" x14ac:dyDescent="0.55000000000000004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</row>
    <row r="1229" spans="1:15" ht="18" x14ac:dyDescent="0.55000000000000004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</row>
    <row r="1230" spans="1:15" ht="18" x14ac:dyDescent="0.55000000000000004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</row>
    <row r="1231" spans="1:15" ht="18" x14ac:dyDescent="0.55000000000000004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</row>
    <row r="1232" spans="1:15" ht="18" x14ac:dyDescent="0.55000000000000004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</row>
    <row r="1233" spans="1:15" ht="18" x14ac:dyDescent="0.55000000000000004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</row>
    <row r="1234" spans="1:15" ht="18" x14ac:dyDescent="0.55000000000000004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</row>
    <row r="1235" spans="1:15" ht="18" x14ac:dyDescent="0.55000000000000004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</row>
    <row r="1236" spans="1:15" ht="18" x14ac:dyDescent="0.55000000000000004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</row>
    <row r="1237" spans="1:15" ht="18" x14ac:dyDescent="0.55000000000000004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</row>
    <row r="1238" spans="1:15" ht="18" x14ac:dyDescent="0.55000000000000004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</row>
    <row r="1239" spans="1:15" ht="18" x14ac:dyDescent="0.55000000000000004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</row>
    <row r="1240" spans="1:15" ht="18" x14ac:dyDescent="0.55000000000000004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</row>
    <row r="1241" spans="1:15" ht="18" x14ac:dyDescent="0.55000000000000004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</row>
    <row r="1242" spans="1:15" ht="18" x14ac:dyDescent="0.55000000000000004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</row>
    <row r="1243" spans="1:15" ht="18" x14ac:dyDescent="0.55000000000000004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</row>
    <row r="1244" spans="1:15" ht="18" x14ac:dyDescent="0.55000000000000004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</row>
    <row r="1245" spans="1:15" ht="18" x14ac:dyDescent="0.55000000000000004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</row>
    <row r="1246" spans="1:15" ht="18" x14ac:dyDescent="0.55000000000000004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</row>
    <row r="1247" spans="1:15" ht="18" x14ac:dyDescent="0.55000000000000004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</row>
    <row r="1248" spans="1:15" ht="18" x14ac:dyDescent="0.55000000000000004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</row>
    <row r="1249" spans="1:15" ht="18" x14ac:dyDescent="0.55000000000000004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</row>
    <row r="1250" spans="1:15" ht="18" x14ac:dyDescent="0.55000000000000004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</row>
    <row r="1251" spans="1:15" ht="18" x14ac:dyDescent="0.55000000000000004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</row>
    <row r="1252" spans="1:15" ht="18" x14ac:dyDescent="0.55000000000000004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</row>
    <row r="1253" spans="1:15" ht="18" x14ac:dyDescent="0.55000000000000004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</row>
    <row r="1254" spans="1:15" ht="18" x14ac:dyDescent="0.55000000000000004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</row>
    <row r="1255" spans="1:15" ht="18" x14ac:dyDescent="0.55000000000000004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</row>
    <row r="1256" spans="1:15" ht="18" x14ac:dyDescent="0.55000000000000004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</row>
    <row r="1257" spans="1:15" ht="18" x14ac:dyDescent="0.55000000000000004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</row>
    <row r="1258" spans="1:15" ht="18" x14ac:dyDescent="0.55000000000000004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</row>
    <row r="1259" spans="1:15" ht="18" x14ac:dyDescent="0.55000000000000004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</row>
    <row r="1260" spans="1:15" ht="18" x14ac:dyDescent="0.55000000000000004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</row>
    <row r="1261" spans="1:15" ht="18" x14ac:dyDescent="0.55000000000000004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</row>
    <row r="1262" spans="1:15" ht="18" x14ac:dyDescent="0.55000000000000004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</row>
    <row r="1263" spans="1:15" ht="18" x14ac:dyDescent="0.55000000000000004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</row>
    <row r="1264" spans="1:15" ht="18" x14ac:dyDescent="0.55000000000000004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</row>
    <row r="1265" spans="1:15" ht="18" x14ac:dyDescent="0.55000000000000004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</row>
    <row r="1266" spans="1:15" ht="18" x14ac:dyDescent="0.55000000000000004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</row>
    <row r="1267" spans="1:15" ht="18" x14ac:dyDescent="0.55000000000000004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</row>
    <row r="1268" spans="1:15" ht="18" x14ac:dyDescent="0.55000000000000004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</row>
    <row r="1269" spans="1:15" ht="18" x14ac:dyDescent="0.55000000000000004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</row>
    <row r="1270" spans="1:15" ht="18" x14ac:dyDescent="0.55000000000000004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</row>
    <row r="1271" spans="1:15" ht="18" x14ac:dyDescent="0.55000000000000004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</row>
    <row r="1272" spans="1:15" ht="18" x14ac:dyDescent="0.55000000000000004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</row>
    <row r="1273" spans="1:15" ht="18" x14ac:dyDescent="0.55000000000000004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</row>
    <row r="1274" spans="1:15" ht="18" x14ac:dyDescent="0.55000000000000004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</row>
    <row r="1275" spans="1:15" ht="18" x14ac:dyDescent="0.55000000000000004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</row>
    <row r="1276" spans="1:15" ht="18" x14ac:dyDescent="0.55000000000000004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</row>
    <row r="1277" spans="1:15" ht="18" x14ac:dyDescent="0.55000000000000004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</row>
    <row r="1278" spans="1:15" ht="18" x14ac:dyDescent="0.55000000000000004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</row>
    <row r="1279" spans="1:15" ht="18" x14ac:dyDescent="0.55000000000000004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</row>
    <row r="1280" spans="1:15" ht="18" x14ac:dyDescent="0.55000000000000004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</row>
    <row r="1281" spans="1:15" ht="18" x14ac:dyDescent="0.55000000000000004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</row>
    <row r="1282" spans="1:15" ht="18" x14ac:dyDescent="0.55000000000000004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</row>
    <row r="1283" spans="1:15" ht="18" x14ac:dyDescent="0.55000000000000004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</row>
    <row r="1284" spans="1:15" ht="18" x14ac:dyDescent="0.55000000000000004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</row>
    <row r="1285" spans="1:15" ht="18" x14ac:dyDescent="0.55000000000000004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</row>
    <row r="1286" spans="1:15" ht="18" x14ac:dyDescent="0.55000000000000004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</row>
    <row r="1287" spans="1:15" ht="18" x14ac:dyDescent="0.55000000000000004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</row>
    <row r="1288" spans="1:15" ht="18" x14ac:dyDescent="0.55000000000000004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</row>
    <row r="1289" spans="1:15" ht="18" x14ac:dyDescent="0.55000000000000004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</row>
    <row r="1290" spans="1:15" ht="18" x14ac:dyDescent="0.55000000000000004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</row>
    <row r="1291" spans="1:15" ht="18" x14ac:dyDescent="0.55000000000000004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</row>
    <row r="1292" spans="1:15" ht="18" x14ac:dyDescent="0.55000000000000004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</row>
    <row r="1293" spans="1:15" ht="18" x14ac:dyDescent="0.55000000000000004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</row>
    <row r="1294" spans="1:15" ht="18" x14ac:dyDescent="0.55000000000000004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</row>
    <row r="1295" spans="1:15" ht="18" x14ac:dyDescent="0.55000000000000004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</row>
    <row r="1296" spans="1:15" ht="18" x14ac:dyDescent="0.55000000000000004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</row>
    <row r="1297" spans="1:15" ht="18" x14ac:dyDescent="0.55000000000000004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</row>
    <row r="1298" spans="1:15" ht="18" x14ac:dyDescent="0.55000000000000004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</row>
    <row r="1299" spans="1:15" ht="18" x14ac:dyDescent="0.55000000000000004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</row>
    <row r="1300" spans="1:15" ht="18" x14ac:dyDescent="0.55000000000000004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</row>
    <row r="1301" spans="1:15" ht="18" x14ac:dyDescent="0.55000000000000004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</row>
    <row r="1302" spans="1:15" ht="18" x14ac:dyDescent="0.55000000000000004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</row>
    <row r="1303" spans="1:15" ht="18" x14ac:dyDescent="0.55000000000000004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</row>
    <row r="1304" spans="1:15" ht="18" x14ac:dyDescent="0.55000000000000004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</row>
    <row r="1305" spans="1:15" ht="18" x14ac:dyDescent="0.55000000000000004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</row>
    <row r="1306" spans="1:15" ht="18" x14ac:dyDescent="0.55000000000000004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</row>
    <row r="1307" spans="1:15" ht="18" x14ac:dyDescent="0.55000000000000004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</row>
    <row r="1308" spans="1:15" ht="18" x14ac:dyDescent="0.55000000000000004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</row>
    <row r="1309" spans="1:15" ht="18" x14ac:dyDescent="0.55000000000000004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</row>
    <row r="1310" spans="1:15" ht="18" x14ac:dyDescent="0.55000000000000004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</row>
    <row r="1311" spans="1:15" ht="18" x14ac:dyDescent="0.55000000000000004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</row>
    <row r="1312" spans="1:15" ht="18" x14ac:dyDescent="0.55000000000000004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</row>
    <row r="1313" spans="1:15" ht="18" x14ac:dyDescent="0.55000000000000004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</row>
    <row r="1314" spans="1:15" ht="18" x14ac:dyDescent="0.55000000000000004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</row>
    <row r="1315" spans="1:15" ht="18" x14ac:dyDescent="0.55000000000000004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</row>
    <row r="1316" spans="1:15" ht="18" x14ac:dyDescent="0.55000000000000004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</row>
    <row r="1317" spans="1:15" ht="18" x14ac:dyDescent="0.55000000000000004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</row>
    <row r="1318" spans="1:15" ht="18" x14ac:dyDescent="0.55000000000000004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</row>
    <row r="1319" spans="1:15" ht="18" x14ac:dyDescent="0.55000000000000004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</row>
    <row r="1320" spans="1:15" ht="18" x14ac:dyDescent="0.55000000000000004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</row>
    <row r="1321" spans="1:15" ht="18" x14ac:dyDescent="0.55000000000000004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</row>
    <row r="1322" spans="1:15" ht="18" x14ac:dyDescent="0.55000000000000004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</row>
    <row r="1323" spans="1:15" ht="18" x14ac:dyDescent="0.55000000000000004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</row>
    <row r="1324" spans="1:15" ht="18" x14ac:dyDescent="0.55000000000000004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</row>
    <row r="1325" spans="1:15" ht="18" x14ac:dyDescent="0.55000000000000004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</row>
    <row r="1326" spans="1:15" ht="18" x14ac:dyDescent="0.55000000000000004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</row>
    <row r="1327" spans="1:15" ht="18" x14ac:dyDescent="0.55000000000000004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</row>
    <row r="1328" spans="1:15" ht="18" x14ac:dyDescent="0.55000000000000004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</row>
    <row r="1329" spans="1:15" ht="18" x14ac:dyDescent="0.55000000000000004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</row>
    <row r="1330" spans="1:15" ht="18" x14ac:dyDescent="0.55000000000000004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</row>
    <row r="1331" spans="1:15" ht="18" x14ac:dyDescent="0.55000000000000004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</row>
    <row r="1332" spans="1:15" ht="18" x14ac:dyDescent="0.55000000000000004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</row>
    <row r="1333" spans="1:15" ht="18" x14ac:dyDescent="0.55000000000000004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</row>
    <row r="1334" spans="1:15" ht="18" x14ac:dyDescent="0.55000000000000004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</row>
    <row r="1335" spans="1:15" ht="18" x14ac:dyDescent="0.55000000000000004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</row>
    <row r="1336" spans="1:15" ht="18" x14ac:dyDescent="0.55000000000000004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</row>
    <row r="1337" spans="1:15" ht="18" x14ac:dyDescent="0.55000000000000004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</row>
    <row r="1338" spans="1:15" ht="18" x14ac:dyDescent="0.55000000000000004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</row>
    <row r="1339" spans="1:15" ht="18" x14ac:dyDescent="0.55000000000000004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</row>
    <row r="1340" spans="1:15" ht="18" x14ac:dyDescent="0.55000000000000004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</row>
    <row r="1341" spans="1:15" ht="18" x14ac:dyDescent="0.55000000000000004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</row>
    <row r="1342" spans="1:15" ht="18" x14ac:dyDescent="0.55000000000000004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</row>
    <row r="1343" spans="1:15" ht="18" x14ac:dyDescent="0.55000000000000004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</row>
    <row r="1344" spans="1:15" ht="18" x14ac:dyDescent="0.55000000000000004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</row>
    <row r="1345" spans="1:15" ht="18" x14ac:dyDescent="0.55000000000000004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</row>
    <row r="1346" spans="1:15" ht="18" x14ac:dyDescent="0.55000000000000004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</row>
    <row r="1347" spans="1:15" ht="18" x14ac:dyDescent="0.55000000000000004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</row>
    <row r="1348" spans="1:15" ht="18" x14ac:dyDescent="0.55000000000000004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</row>
    <row r="1349" spans="1:15" ht="18" x14ac:dyDescent="0.55000000000000004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</row>
    <row r="1350" spans="1:15" ht="18" x14ac:dyDescent="0.55000000000000004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</row>
    <row r="1351" spans="1:15" ht="18" x14ac:dyDescent="0.55000000000000004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</row>
    <row r="1352" spans="1:15" ht="18" x14ac:dyDescent="0.55000000000000004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</row>
    <row r="1353" spans="1:15" ht="18" x14ac:dyDescent="0.55000000000000004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</row>
    <row r="1354" spans="1:15" ht="18" x14ac:dyDescent="0.55000000000000004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</row>
    <row r="1355" spans="1:15" ht="18" x14ac:dyDescent="0.55000000000000004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</row>
    <row r="1356" spans="1:15" ht="18" x14ac:dyDescent="0.55000000000000004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</row>
    <row r="1357" spans="1:15" ht="18" x14ac:dyDescent="0.55000000000000004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</row>
    <row r="1358" spans="1:15" ht="18" x14ac:dyDescent="0.55000000000000004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</row>
    <row r="1359" spans="1:15" ht="18" x14ac:dyDescent="0.55000000000000004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</row>
    <row r="1360" spans="1:15" ht="18" x14ac:dyDescent="0.55000000000000004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</row>
    <row r="1361" spans="1:15" ht="18" x14ac:dyDescent="0.55000000000000004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</row>
    <row r="1362" spans="1:15" ht="18" x14ac:dyDescent="0.55000000000000004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</row>
    <row r="1363" spans="1:15" ht="18" x14ac:dyDescent="0.55000000000000004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</row>
    <row r="1364" spans="1:15" ht="18" x14ac:dyDescent="0.55000000000000004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</row>
    <row r="1365" spans="1:15" ht="18" x14ac:dyDescent="0.55000000000000004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</row>
    <row r="1366" spans="1:15" ht="18" x14ac:dyDescent="0.55000000000000004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</row>
    <row r="1367" spans="1:15" ht="18" x14ac:dyDescent="0.55000000000000004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</row>
    <row r="1368" spans="1:15" ht="18" x14ac:dyDescent="0.55000000000000004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</row>
    <row r="1369" spans="1:15" ht="18" x14ac:dyDescent="0.55000000000000004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</row>
    <row r="1370" spans="1:15" ht="18" x14ac:dyDescent="0.55000000000000004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</row>
    <row r="1371" spans="1:15" ht="18" x14ac:dyDescent="0.55000000000000004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</row>
    <row r="1372" spans="1:15" ht="18" x14ac:dyDescent="0.55000000000000004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</row>
    <row r="1373" spans="1:15" ht="18" x14ac:dyDescent="0.55000000000000004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</row>
    <row r="1374" spans="1:15" ht="18" x14ac:dyDescent="0.55000000000000004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</row>
    <row r="1375" spans="1:15" ht="18" x14ac:dyDescent="0.55000000000000004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</row>
    <row r="1376" spans="1:15" ht="18" x14ac:dyDescent="0.55000000000000004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</row>
    <row r="1377" spans="1:15" ht="18" x14ac:dyDescent="0.55000000000000004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</row>
    <row r="1378" spans="1:15" ht="18" x14ac:dyDescent="0.55000000000000004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</row>
    <row r="1379" spans="1:15" ht="18" x14ac:dyDescent="0.55000000000000004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</row>
    <row r="1380" spans="1:15" ht="18" x14ac:dyDescent="0.55000000000000004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</row>
    <row r="1381" spans="1:15" ht="18" x14ac:dyDescent="0.55000000000000004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</row>
    <row r="1382" spans="1:15" ht="18" x14ac:dyDescent="0.55000000000000004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</row>
    <row r="1383" spans="1:15" ht="18" x14ac:dyDescent="0.55000000000000004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</row>
    <row r="1384" spans="1:15" ht="18" x14ac:dyDescent="0.55000000000000004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</row>
    <row r="1385" spans="1:15" ht="18" x14ac:dyDescent="0.55000000000000004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</row>
    <row r="1386" spans="1:15" ht="18" x14ac:dyDescent="0.55000000000000004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</row>
    <row r="1387" spans="1:15" ht="18" x14ac:dyDescent="0.55000000000000004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</row>
    <row r="1388" spans="1:15" ht="18" x14ac:dyDescent="0.55000000000000004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</row>
    <row r="1389" spans="1:15" ht="18" x14ac:dyDescent="0.55000000000000004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</row>
    <row r="1390" spans="1:15" ht="18" x14ac:dyDescent="0.55000000000000004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</row>
    <row r="1391" spans="1:15" ht="18" x14ac:dyDescent="0.55000000000000004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</row>
    <row r="1392" spans="1:15" ht="18" x14ac:dyDescent="0.55000000000000004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</row>
    <row r="1393" spans="1:15" ht="18" x14ac:dyDescent="0.55000000000000004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</row>
    <row r="1394" spans="1:15" ht="18" x14ac:dyDescent="0.55000000000000004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</row>
    <row r="1395" spans="1:15" ht="18" x14ac:dyDescent="0.55000000000000004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</row>
    <row r="1396" spans="1:15" ht="18" x14ac:dyDescent="0.55000000000000004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</row>
    <row r="1397" spans="1:15" ht="18" x14ac:dyDescent="0.55000000000000004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</row>
    <row r="1398" spans="1:15" ht="18" x14ac:dyDescent="0.55000000000000004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</row>
    <row r="1399" spans="1:15" ht="18" x14ac:dyDescent="0.55000000000000004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</row>
    <row r="1400" spans="1:15" ht="18" x14ac:dyDescent="0.55000000000000004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</row>
    <row r="1401" spans="1:15" ht="18" x14ac:dyDescent="0.55000000000000004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</row>
    <row r="1402" spans="1:15" ht="18" x14ac:dyDescent="0.55000000000000004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</row>
    <row r="1403" spans="1:15" ht="18" x14ac:dyDescent="0.55000000000000004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</row>
    <row r="1404" spans="1:15" ht="18" x14ac:dyDescent="0.55000000000000004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</row>
    <row r="1405" spans="1:15" ht="18" x14ac:dyDescent="0.55000000000000004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</row>
    <row r="1406" spans="1:15" ht="18" x14ac:dyDescent="0.55000000000000004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</row>
    <row r="1407" spans="1:15" ht="18" x14ac:dyDescent="0.55000000000000004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</row>
    <row r="1408" spans="1:15" ht="18" x14ac:dyDescent="0.55000000000000004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</row>
    <row r="1409" spans="1:15" ht="18" x14ac:dyDescent="0.55000000000000004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</row>
    <row r="1410" spans="1:15" ht="18" x14ac:dyDescent="0.55000000000000004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</row>
    <row r="1411" spans="1:15" ht="18" x14ac:dyDescent="0.55000000000000004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</row>
    <row r="1412" spans="1:15" ht="18" x14ac:dyDescent="0.55000000000000004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</row>
    <row r="1413" spans="1:15" ht="18" x14ac:dyDescent="0.55000000000000004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</row>
    <row r="1414" spans="1:15" ht="18" x14ac:dyDescent="0.55000000000000004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</row>
    <row r="1415" spans="1:15" ht="18" x14ac:dyDescent="0.55000000000000004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</row>
    <row r="1416" spans="1:15" ht="18" x14ac:dyDescent="0.55000000000000004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</row>
    <row r="1417" spans="1:15" ht="18" x14ac:dyDescent="0.55000000000000004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</row>
    <row r="1418" spans="1:15" ht="18" x14ac:dyDescent="0.55000000000000004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</row>
    <row r="1419" spans="1:15" ht="18" x14ac:dyDescent="0.55000000000000004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</row>
    <row r="1420" spans="1:15" ht="18" x14ac:dyDescent="0.55000000000000004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</row>
    <row r="1421" spans="1:15" ht="18" x14ac:dyDescent="0.55000000000000004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</row>
    <row r="1422" spans="1:15" ht="18" x14ac:dyDescent="0.55000000000000004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</row>
    <row r="1423" spans="1:15" ht="18" x14ac:dyDescent="0.55000000000000004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</row>
    <row r="1424" spans="1:15" ht="18" x14ac:dyDescent="0.55000000000000004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</row>
    <row r="1425" spans="1:15" ht="18" x14ac:dyDescent="0.55000000000000004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</row>
    <row r="1426" spans="1:15" ht="18" x14ac:dyDescent="0.55000000000000004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</row>
    <row r="1427" spans="1:15" ht="18" x14ac:dyDescent="0.55000000000000004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</row>
    <row r="1428" spans="1:15" ht="18" x14ac:dyDescent="0.55000000000000004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</row>
    <row r="1429" spans="1:15" ht="18" x14ac:dyDescent="0.55000000000000004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</row>
    <row r="1430" spans="1:15" ht="18" x14ac:dyDescent="0.55000000000000004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</row>
    <row r="1431" spans="1:15" ht="18" x14ac:dyDescent="0.55000000000000004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</row>
    <row r="1432" spans="1:15" ht="18" x14ac:dyDescent="0.55000000000000004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</row>
    <row r="1433" spans="1:15" ht="18" x14ac:dyDescent="0.55000000000000004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</row>
    <row r="1434" spans="1:15" ht="18" x14ac:dyDescent="0.55000000000000004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</row>
    <row r="1435" spans="1:15" ht="18" x14ac:dyDescent="0.55000000000000004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</row>
    <row r="1436" spans="1:15" ht="18" x14ac:dyDescent="0.55000000000000004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</row>
    <row r="1437" spans="1:15" ht="18" x14ac:dyDescent="0.55000000000000004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</row>
    <row r="1438" spans="1:15" ht="18" x14ac:dyDescent="0.55000000000000004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</row>
    <row r="1439" spans="1:15" ht="18" x14ac:dyDescent="0.55000000000000004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</row>
    <row r="1440" spans="1:15" ht="18" x14ac:dyDescent="0.55000000000000004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</row>
    <row r="1441" spans="1:15" ht="18" x14ac:dyDescent="0.55000000000000004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</row>
    <row r="1442" spans="1:15" ht="18" x14ac:dyDescent="0.55000000000000004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</row>
    <row r="1443" spans="1:15" ht="18" x14ac:dyDescent="0.55000000000000004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</row>
    <row r="1444" spans="1:15" ht="18" x14ac:dyDescent="0.55000000000000004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</row>
    <row r="1445" spans="1:15" ht="18" x14ac:dyDescent="0.55000000000000004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</row>
    <row r="1446" spans="1:15" ht="18" x14ac:dyDescent="0.55000000000000004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</row>
    <row r="1447" spans="1:15" ht="18" x14ac:dyDescent="0.55000000000000004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</row>
    <row r="1448" spans="1:15" ht="18" x14ac:dyDescent="0.55000000000000004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</row>
    <row r="1449" spans="1:15" ht="18" x14ac:dyDescent="0.55000000000000004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</row>
    <row r="1450" spans="1:15" ht="18" x14ac:dyDescent="0.55000000000000004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</row>
    <row r="1451" spans="1:15" ht="18" x14ac:dyDescent="0.55000000000000004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</row>
    <row r="1452" spans="1:15" ht="18" x14ac:dyDescent="0.55000000000000004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</row>
    <row r="1453" spans="1:15" ht="18" x14ac:dyDescent="0.55000000000000004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</row>
    <row r="1454" spans="1:15" ht="18" x14ac:dyDescent="0.55000000000000004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</row>
    <row r="1455" spans="1:15" ht="18" x14ac:dyDescent="0.55000000000000004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</row>
    <row r="1456" spans="1:15" ht="18" x14ac:dyDescent="0.55000000000000004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</row>
    <row r="1457" spans="1:15" ht="18" x14ac:dyDescent="0.55000000000000004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</row>
    <row r="1458" spans="1:15" ht="18" x14ac:dyDescent="0.55000000000000004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</row>
    <row r="1459" spans="1:15" ht="18" x14ac:dyDescent="0.55000000000000004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</row>
    <row r="1460" spans="1:15" ht="18" x14ac:dyDescent="0.55000000000000004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</row>
    <row r="1461" spans="1:15" ht="18" x14ac:dyDescent="0.55000000000000004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</row>
    <row r="1462" spans="1:15" ht="18" x14ac:dyDescent="0.55000000000000004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</row>
    <row r="1463" spans="1:15" ht="18" x14ac:dyDescent="0.55000000000000004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</row>
    <row r="1464" spans="1:15" ht="18" x14ac:dyDescent="0.55000000000000004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</row>
    <row r="1465" spans="1:15" ht="18" x14ac:dyDescent="0.55000000000000004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</row>
    <row r="1466" spans="1:15" ht="18" x14ac:dyDescent="0.55000000000000004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</row>
    <row r="1467" spans="1:15" ht="18" x14ac:dyDescent="0.55000000000000004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</row>
    <row r="1468" spans="1:15" ht="18" x14ac:dyDescent="0.55000000000000004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</row>
    <row r="1469" spans="1:15" ht="18" x14ac:dyDescent="0.55000000000000004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</row>
    <row r="1470" spans="1:15" ht="18" x14ac:dyDescent="0.55000000000000004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</row>
    <row r="1471" spans="1:15" ht="18" x14ac:dyDescent="0.55000000000000004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</row>
    <row r="1472" spans="1:15" ht="18" x14ac:dyDescent="0.55000000000000004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</row>
    <row r="1473" spans="1:15" ht="18" x14ac:dyDescent="0.55000000000000004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</row>
    <row r="1474" spans="1:15" ht="18" x14ac:dyDescent="0.55000000000000004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</row>
    <row r="1475" spans="1:15" ht="18" x14ac:dyDescent="0.55000000000000004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</row>
    <row r="1476" spans="1:15" ht="18" x14ac:dyDescent="0.55000000000000004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</row>
    <row r="1477" spans="1:15" ht="18" x14ac:dyDescent="0.55000000000000004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</row>
    <row r="1478" spans="1:15" ht="18" x14ac:dyDescent="0.55000000000000004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</row>
    <row r="1479" spans="1:15" ht="18" x14ac:dyDescent="0.55000000000000004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</row>
    <row r="1480" spans="1:15" ht="18" x14ac:dyDescent="0.55000000000000004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</row>
    <row r="1481" spans="1:15" ht="18" x14ac:dyDescent="0.55000000000000004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</row>
    <row r="1482" spans="1:15" ht="18" x14ac:dyDescent="0.55000000000000004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</row>
    <row r="1483" spans="1:15" ht="18" x14ac:dyDescent="0.55000000000000004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</row>
    <row r="1484" spans="1:15" ht="18" x14ac:dyDescent="0.55000000000000004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</row>
    <row r="1485" spans="1:15" ht="18" x14ac:dyDescent="0.55000000000000004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</row>
    <row r="1486" spans="1:15" ht="18" x14ac:dyDescent="0.55000000000000004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</row>
    <row r="1487" spans="1:15" ht="18" x14ac:dyDescent="0.55000000000000004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</row>
    <row r="1488" spans="1:15" ht="18" x14ac:dyDescent="0.55000000000000004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</row>
    <row r="1489" spans="1:15" ht="18" x14ac:dyDescent="0.55000000000000004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</row>
    <row r="1490" spans="1:15" ht="18" x14ac:dyDescent="0.55000000000000004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</row>
    <row r="1491" spans="1:15" ht="18" x14ac:dyDescent="0.55000000000000004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</row>
    <row r="1492" spans="1:15" ht="18" x14ac:dyDescent="0.55000000000000004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</row>
    <row r="1493" spans="1:15" ht="18" x14ac:dyDescent="0.55000000000000004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</row>
    <row r="1494" spans="1:15" ht="18" x14ac:dyDescent="0.55000000000000004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</row>
    <row r="1495" spans="1:15" ht="18" x14ac:dyDescent="0.55000000000000004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</row>
    <row r="1496" spans="1:15" ht="18" x14ac:dyDescent="0.55000000000000004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</row>
    <row r="1497" spans="1:15" ht="18" x14ac:dyDescent="0.55000000000000004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</row>
    <row r="1498" spans="1:15" ht="18" x14ac:dyDescent="0.55000000000000004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</row>
    <row r="1499" spans="1:15" ht="18" x14ac:dyDescent="0.55000000000000004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</row>
    <row r="1500" spans="1:15" ht="18" x14ac:dyDescent="0.55000000000000004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</row>
    <row r="1501" spans="1:15" ht="18" x14ac:dyDescent="0.55000000000000004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</row>
    <row r="1502" spans="1:15" ht="18" x14ac:dyDescent="0.55000000000000004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</row>
    <row r="1503" spans="1:15" ht="18" x14ac:dyDescent="0.55000000000000004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</row>
    <row r="1504" spans="1:15" ht="18" x14ac:dyDescent="0.55000000000000004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</row>
    <row r="1505" spans="1:15" ht="18" x14ac:dyDescent="0.55000000000000004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</row>
    <row r="1506" spans="1:15" ht="18" x14ac:dyDescent="0.55000000000000004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</row>
    <row r="1507" spans="1:15" ht="18" x14ac:dyDescent="0.55000000000000004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</row>
    <row r="1508" spans="1:15" ht="18" x14ac:dyDescent="0.55000000000000004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</row>
    <row r="1509" spans="1:15" ht="18" x14ac:dyDescent="0.55000000000000004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</row>
    <row r="1510" spans="1:15" ht="18" x14ac:dyDescent="0.55000000000000004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</row>
    <row r="1511" spans="1:15" ht="18" x14ac:dyDescent="0.55000000000000004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</row>
    <row r="1512" spans="1:15" ht="18" x14ac:dyDescent="0.55000000000000004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</row>
    <row r="1513" spans="1:15" ht="18" x14ac:dyDescent="0.55000000000000004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</row>
    <row r="1514" spans="1:15" ht="18" x14ac:dyDescent="0.55000000000000004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</row>
    <row r="1515" spans="1:15" ht="18" x14ac:dyDescent="0.55000000000000004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</row>
    <row r="1516" spans="1:15" ht="18" x14ac:dyDescent="0.55000000000000004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</row>
    <row r="1517" spans="1:15" ht="18" x14ac:dyDescent="0.55000000000000004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</row>
    <row r="1518" spans="1:15" ht="18" x14ac:dyDescent="0.55000000000000004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</row>
    <row r="1519" spans="1:15" ht="18" x14ac:dyDescent="0.55000000000000004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</row>
    <row r="1520" spans="1:15" ht="18" x14ac:dyDescent="0.55000000000000004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</row>
    <row r="1521" spans="1:15" ht="18" x14ac:dyDescent="0.55000000000000004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</row>
    <row r="1522" spans="1:15" ht="18" x14ac:dyDescent="0.55000000000000004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</row>
    <row r="1523" spans="1:15" ht="18" x14ac:dyDescent="0.55000000000000004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</row>
    <row r="1524" spans="1:15" ht="18" x14ac:dyDescent="0.55000000000000004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</row>
    <row r="1525" spans="1:15" ht="18" x14ac:dyDescent="0.55000000000000004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</row>
    <row r="1526" spans="1:15" ht="18" x14ac:dyDescent="0.55000000000000004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</row>
    <row r="1527" spans="1:15" ht="18" x14ac:dyDescent="0.55000000000000004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</row>
    <row r="1528" spans="1:15" ht="18" x14ac:dyDescent="0.55000000000000004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</row>
    <row r="1529" spans="1:15" ht="18" x14ac:dyDescent="0.55000000000000004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</row>
    <row r="1530" spans="1:15" ht="18" x14ac:dyDescent="0.55000000000000004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</row>
    <row r="1531" spans="1:15" ht="18" x14ac:dyDescent="0.55000000000000004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</row>
    <row r="1532" spans="1:15" ht="18" x14ac:dyDescent="0.55000000000000004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</row>
    <row r="1533" spans="1:15" ht="18" x14ac:dyDescent="0.55000000000000004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</row>
    <row r="1534" spans="1:15" ht="18" x14ac:dyDescent="0.55000000000000004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</row>
    <row r="1535" spans="1:15" ht="18" x14ac:dyDescent="0.55000000000000004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</row>
    <row r="1536" spans="1:15" ht="18" x14ac:dyDescent="0.55000000000000004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</row>
    <row r="1537" spans="1:15" ht="18" x14ac:dyDescent="0.55000000000000004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</row>
    <row r="1538" spans="1:15" ht="18" x14ac:dyDescent="0.55000000000000004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</row>
    <row r="1539" spans="1:15" ht="18" x14ac:dyDescent="0.55000000000000004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</row>
    <row r="1540" spans="1:15" ht="18" x14ac:dyDescent="0.55000000000000004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</row>
    <row r="1541" spans="1:15" ht="18" x14ac:dyDescent="0.55000000000000004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</row>
    <row r="1542" spans="1:15" ht="18" x14ac:dyDescent="0.55000000000000004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</row>
    <row r="1543" spans="1:15" ht="18" x14ac:dyDescent="0.55000000000000004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</row>
    <row r="1544" spans="1:15" ht="18" x14ac:dyDescent="0.55000000000000004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</row>
    <row r="1545" spans="1:15" ht="18" x14ac:dyDescent="0.55000000000000004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</row>
    <row r="1546" spans="1:15" ht="18" x14ac:dyDescent="0.55000000000000004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</row>
    <row r="1547" spans="1:15" ht="18" x14ac:dyDescent="0.55000000000000004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</row>
    <row r="1548" spans="1:15" ht="18" x14ac:dyDescent="0.55000000000000004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</row>
    <row r="1549" spans="1:15" ht="18" x14ac:dyDescent="0.55000000000000004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</row>
    <row r="1550" spans="1:15" ht="18" x14ac:dyDescent="0.55000000000000004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</row>
    <row r="1551" spans="1:15" ht="18" x14ac:dyDescent="0.55000000000000004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</row>
    <row r="1552" spans="1:15" ht="18" x14ac:dyDescent="0.55000000000000004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</row>
    <row r="1553" spans="1:15" ht="18" x14ac:dyDescent="0.55000000000000004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</row>
    <row r="1554" spans="1:15" ht="18" x14ac:dyDescent="0.55000000000000004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</row>
    <row r="1555" spans="1:15" ht="18" x14ac:dyDescent="0.55000000000000004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</row>
    <row r="1556" spans="1:15" ht="18" x14ac:dyDescent="0.55000000000000004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</row>
    <row r="1557" spans="1:15" ht="18" x14ac:dyDescent="0.55000000000000004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</row>
    <row r="1558" spans="1:15" ht="18" x14ac:dyDescent="0.55000000000000004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</row>
    <row r="1559" spans="1:15" ht="18" x14ac:dyDescent="0.55000000000000004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</row>
    <row r="1560" spans="1:15" ht="18" x14ac:dyDescent="0.55000000000000004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</row>
    <row r="1561" spans="1:15" ht="18" x14ac:dyDescent="0.55000000000000004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</row>
    <row r="1562" spans="1:15" ht="18" x14ac:dyDescent="0.55000000000000004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</row>
    <row r="1563" spans="1:15" ht="18" x14ac:dyDescent="0.55000000000000004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</row>
    <row r="1564" spans="1:15" ht="18" x14ac:dyDescent="0.55000000000000004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</row>
    <row r="1565" spans="1:15" ht="18" x14ac:dyDescent="0.55000000000000004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</row>
    <row r="1566" spans="1:15" ht="18" x14ac:dyDescent="0.55000000000000004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</row>
    <row r="1567" spans="1:15" ht="18" x14ac:dyDescent="0.55000000000000004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</row>
    <row r="1568" spans="1:15" ht="18" x14ac:dyDescent="0.55000000000000004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</row>
    <row r="1569" spans="1:15" ht="18" x14ac:dyDescent="0.55000000000000004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</row>
    <row r="1570" spans="1:15" ht="18" x14ac:dyDescent="0.55000000000000004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</row>
    <row r="1571" spans="1:15" ht="18" x14ac:dyDescent="0.55000000000000004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</row>
    <row r="1572" spans="1:15" ht="18" x14ac:dyDescent="0.55000000000000004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</row>
    <row r="1573" spans="1:15" ht="18" x14ac:dyDescent="0.55000000000000004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</row>
    <row r="1574" spans="1:15" ht="18" x14ac:dyDescent="0.55000000000000004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</row>
    <row r="1575" spans="1:15" ht="18" x14ac:dyDescent="0.55000000000000004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</row>
    <row r="1576" spans="1:15" ht="18" x14ac:dyDescent="0.55000000000000004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</row>
    <row r="1577" spans="1:15" ht="18" x14ac:dyDescent="0.55000000000000004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</row>
    <row r="1578" spans="1:15" ht="18" x14ac:dyDescent="0.55000000000000004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</row>
    <row r="1579" spans="1:15" ht="18" x14ac:dyDescent="0.55000000000000004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</row>
    <row r="1580" spans="1:15" ht="18" x14ac:dyDescent="0.55000000000000004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</row>
    <row r="1581" spans="1:15" ht="18" x14ac:dyDescent="0.55000000000000004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</row>
    <row r="1582" spans="1:15" ht="18" x14ac:dyDescent="0.55000000000000004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</row>
    <row r="1583" spans="1:15" ht="18" x14ac:dyDescent="0.55000000000000004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</row>
    <row r="1584" spans="1:15" ht="18" x14ac:dyDescent="0.55000000000000004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</row>
    <row r="1585" spans="1:15" ht="18" x14ac:dyDescent="0.55000000000000004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</row>
    <row r="1586" spans="1:15" ht="18" x14ac:dyDescent="0.55000000000000004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</row>
    <row r="1587" spans="1:15" ht="18" x14ac:dyDescent="0.55000000000000004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</row>
    <row r="1588" spans="1:15" ht="18" x14ac:dyDescent="0.55000000000000004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</row>
    <row r="1589" spans="1:15" ht="18" x14ac:dyDescent="0.55000000000000004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</row>
    <row r="1590" spans="1:15" ht="18" x14ac:dyDescent="0.55000000000000004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</row>
    <row r="1591" spans="1:15" ht="18" x14ac:dyDescent="0.55000000000000004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</row>
    <row r="1592" spans="1:15" ht="18" x14ac:dyDescent="0.55000000000000004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</row>
    <row r="1593" spans="1:15" ht="18" x14ac:dyDescent="0.55000000000000004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</row>
    <row r="1594" spans="1:15" ht="18" x14ac:dyDescent="0.55000000000000004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</row>
    <row r="1595" spans="1:15" ht="18" x14ac:dyDescent="0.55000000000000004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</row>
    <row r="1596" spans="1:15" ht="18" x14ac:dyDescent="0.55000000000000004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</row>
    <row r="1597" spans="1:15" ht="18" x14ac:dyDescent="0.55000000000000004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</row>
    <row r="1598" spans="1:15" ht="18" x14ac:dyDescent="0.55000000000000004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</row>
    <row r="1599" spans="1:15" ht="18" x14ac:dyDescent="0.55000000000000004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</row>
    <row r="1600" spans="1:15" ht="18" x14ac:dyDescent="0.55000000000000004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</row>
    <row r="1601" spans="1:15" ht="18" x14ac:dyDescent="0.55000000000000004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</row>
    <row r="1602" spans="1:15" ht="18" x14ac:dyDescent="0.55000000000000004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</row>
    <row r="1603" spans="1:15" ht="18" x14ac:dyDescent="0.55000000000000004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</row>
    <row r="1604" spans="1:15" ht="18" x14ac:dyDescent="0.55000000000000004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</row>
    <row r="1605" spans="1:15" ht="18" x14ac:dyDescent="0.55000000000000004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</row>
    <row r="1606" spans="1:15" ht="18" x14ac:dyDescent="0.55000000000000004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</row>
    <row r="1607" spans="1:15" ht="18" x14ac:dyDescent="0.55000000000000004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</row>
    <row r="1608" spans="1:15" ht="18" x14ac:dyDescent="0.55000000000000004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</row>
    <row r="1609" spans="1:15" ht="18" x14ac:dyDescent="0.55000000000000004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</row>
    <row r="1610" spans="1:15" ht="18" x14ac:dyDescent="0.55000000000000004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</row>
    <row r="1611" spans="1:15" ht="18" x14ac:dyDescent="0.55000000000000004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</row>
    <row r="1612" spans="1:15" ht="18" x14ac:dyDescent="0.55000000000000004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</row>
    <row r="1613" spans="1:15" ht="18" x14ac:dyDescent="0.55000000000000004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</row>
    <row r="1614" spans="1:15" ht="18" x14ac:dyDescent="0.55000000000000004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</row>
    <row r="1615" spans="1:15" ht="18" x14ac:dyDescent="0.55000000000000004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</row>
    <row r="1616" spans="1:15" ht="18" x14ac:dyDescent="0.55000000000000004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</row>
    <row r="1617" spans="1:15" ht="18" x14ac:dyDescent="0.55000000000000004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</row>
    <row r="1618" spans="1:15" ht="18" x14ac:dyDescent="0.55000000000000004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</row>
    <row r="1619" spans="1:15" ht="18" x14ac:dyDescent="0.55000000000000004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</row>
    <row r="1620" spans="1:15" ht="18" x14ac:dyDescent="0.55000000000000004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</row>
    <row r="1621" spans="1:15" ht="18" x14ac:dyDescent="0.55000000000000004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</row>
    <row r="1622" spans="1:15" ht="18" x14ac:dyDescent="0.55000000000000004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</row>
    <row r="1623" spans="1:15" ht="18" x14ac:dyDescent="0.55000000000000004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</row>
    <row r="1624" spans="1:15" ht="18" x14ac:dyDescent="0.55000000000000004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</row>
    <row r="1625" spans="1:15" ht="18" x14ac:dyDescent="0.55000000000000004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</row>
    <row r="1626" spans="1:15" ht="18" x14ac:dyDescent="0.55000000000000004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</row>
    <row r="1627" spans="1:15" ht="18" x14ac:dyDescent="0.55000000000000004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</row>
    <row r="1628" spans="1:15" ht="18" x14ac:dyDescent="0.55000000000000004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</row>
    <row r="1629" spans="1:15" ht="18" x14ac:dyDescent="0.55000000000000004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</row>
    <row r="1630" spans="1:15" ht="18" x14ac:dyDescent="0.55000000000000004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</row>
    <row r="1631" spans="1:15" ht="18" x14ac:dyDescent="0.55000000000000004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</row>
    <row r="1632" spans="1:15" ht="18" x14ac:dyDescent="0.55000000000000004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</row>
    <row r="1633" spans="1:15" ht="18" x14ac:dyDescent="0.55000000000000004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</row>
    <row r="1634" spans="1:15" ht="18" x14ac:dyDescent="0.55000000000000004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</row>
    <row r="1635" spans="1:15" ht="18" x14ac:dyDescent="0.55000000000000004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</row>
    <row r="1636" spans="1:15" ht="18" x14ac:dyDescent="0.55000000000000004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</row>
    <row r="1637" spans="1:15" ht="18" x14ac:dyDescent="0.55000000000000004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</row>
    <row r="1638" spans="1:15" ht="18" x14ac:dyDescent="0.55000000000000004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</row>
    <row r="1639" spans="1:15" ht="18" x14ac:dyDescent="0.55000000000000004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</row>
    <row r="1640" spans="1:15" ht="18" x14ac:dyDescent="0.55000000000000004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</row>
    <row r="1641" spans="1:15" ht="18" x14ac:dyDescent="0.55000000000000004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</row>
    <row r="1642" spans="1:15" ht="18" x14ac:dyDescent="0.55000000000000004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</row>
    <row r="1643" spans="1:15" ht="18" x14ac:dyDescent="0.55000000000000004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</row>
    <row r="1644" spans="1:15" ht="18" x14ac:dyDescent="0.55000000000000004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</row>
    <row r="1645" spans="1:15" ht="18" x14ac:dyDescent="0.55000000000000004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</row>
    <row r="1646" spans="1:15" ht="18" x14ac:dyDescent="0.55000000000000004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</row>
    <row r="1647" spans="1:15" ht="18" x14ac:dyDescent="0.55000000000000004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</row>
    <row r="1648" spans="1:15" ht="18" x14ac:dyDescent="0.55000000000000004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</row>
    <row r="1649" spans="1:15" ht="18" x14ac:dyDescent="0.55000000000000004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</row>
    <row r="1650" spans="1:15" ht="18" x14ac:dyDescent="0.55000000000000004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</row>
    <row r="1651" spans="1:15" ht="18" x14ac:dyDescent="0.55000000000000004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</row>
    <row r="1652" spans="1:15" ht="18" x14ac:dyDescent="0.55000000000000004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</row>
    <row r="1653" spans="1:15" ht="18" x14ac:dyDescent="0.55000000000000004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</row>
    <row r="1654" spans="1:15" ht="18" x14ac:dyDescent="0.55000000000000004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</row>
    <row r="1655" spans="1:15" ht="18" x14ac:dyDescent="0.55000000000000004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</row>
    <row r="1656" spans="1:15" ht="18" x14ac:dyDescent="0.55000000000000004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</row>
    <row r="1657" spans="1:15" ht="18" x14ac:dyDescent="0.55000000000000004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</row>
    <row r="1658" spans="1:15" ht="18" x14ac:dyDescent="0.55000000000000004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</row>
    <row r="1659" spans="1:15" ht="18" x14ac:dyDescent="0.55000000000000004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</row>
    <row r="1660" spans="1:15" ht="18" x14ac:dyDescent="0.55000000000000004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</row>
    <row r="1661" spans="1:15" ht="18" x14ac:dyDescent="0.55000000000000004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</row>
    <row r="1662" spans="1:15" ht="18" x14ac:dyDescent="0.55000000000000004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</row>
    <row r="1663" spans="1:15" ht="18" x14ac:dyDescent="0.55000000000000004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</row>
    <row r="1664" spans="1:15" ht="18" x14ac:dyDescent="0.55000000000000004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</row>
    <row r="1665" spans="1:15" ht="18" x14ac:dyDescent="0.55000000000000004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</row>
    <row r="1666" spans="1:15" ht="18" x14ac:dyDescent="0.55000000000000004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</row>
    <row r="1667" spans="1:15" ht="18" x14ac:dyDescent="0.55000000000000004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</row>
    <row r="1668" spans="1:15" ht="18" x14ac:dyDescent="0.55000000000000004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</row>
    <row r="1669" spans="1:15" ht="18" x14ac:dyDescent="0.55000000000000004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</row>
    <row r="1670" spans="1:15" ht="18" x14ac:dyDescent="0.55000000000000004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</row>
    <row r="1671" spans="1:15" ht="18" x14ac:dyDescent="0.55000000000000004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</row>
    <row r="1672" spans="1:15" ht="18" x14ac:dyDescent="0.55000000000000004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</row>
    <row r="1673" spans="1:15" ht="18" x14ac:dyDescent="0.55000000000000004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</row>
    <row r="1674" spans="1:15" ht="18" x14ac:dyDescent="0.55000000000000004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</row>
    <row r="1675" spans="1:15" ht="18" x14ac:dyDescent="0.55000000000000004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</row>
    <row r="1676" spans="1:15" ht="18" x14ac:dyDescent="0.55000000000000004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</row>
    <row r="1677" spans="1:15" ht="18" x14ac:dyDescent="0.55000000000000004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</row>
    <row r="1678" spans="1:15" ht="18" x14ac:dyDescent="0.55000000000000004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</row>
    <row r="1679" spans="1:15" ht="18" x14ac:dyDescent="0.55000000000000004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</row>
    <row r="1680" spans="1:15" ht="18" x14ac:dyDescent="0.55000000000000004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</row>
    <row r="1681" spans="1:15" ht="18" x14ac:dyDescent="0.55000000000000004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</row>
    <row r="1682" spans="1:15" ht="18" x14ac:dyDescent="0.55000000000000004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</row>
    <row r="1683" spans="1:15" ht="18" x14ac:dyDescent="0.55000000000000004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</row>
    <row r="1684" spans="1:15" ht="18" x14ac:dyDescent="0.55000000000000004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</row>
    <row r="1685" spans="1:15" ht="18" x14ac:dyDescent="0.55000000000000004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</row>
    <row r="1686" spans="1:15" ht="18" x14ac:dyDescent="0.55000000000000004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</row>
    <row r="1687" spans="1:15" ht="18" x14ac:dyDescent="0.55000000000000004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</row>
    <row r="1688" spans="1:15" ht="18" x14ac:dyDescent="0.55000000000000004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</row>
    <row r="1689" spans="1:15" ht="18" x14ac:dyDescent="0.55000000000000004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</row>
    <row r="1690" spans="1:15" ht="18" x14ac:dyDescent="0.55000000000000004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</row>
    <row r="1691" spans="1:15" ht="18" x14ac:dyDescent="0.55000000000000004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</row>
    <row r="1692" spans="1:15" ht="18" x14ac:dyDescent="0.55000000000000004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</row>
    <row r="1693" spans="1:15" ht="18" x14ac:dyDescent="0.55000000000000004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</row>
    <row r="1694" spans="1:15" ht="18" x14ac:dyDescent="0.55000000000000004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</row>
    <row r="1695" spans="1:15" ht="18" x14ac:dyDescent="0.55000000000000004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</row>
    <row r="1696" spans="1:15" ht="18" x14ac:dyDescent="0.55000000000000004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</row>
    <row r="1697" spans="1:15" ht="18" x14ac:dyDescent="0.55000000000000004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</row>
    <row r="1698" spans="1:15" ht="18" x14ac:dyDescent="0.55000000000000004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</row>
    <row r="1699" spans="1:15" ht="18" x14ac:dyDescent="0.55000000000000004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</row>
    <row r="1700" spans="1:15" ht="18" x14ac:dyDescent="0.55000000000000004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</row>
    <row r="1701" spans="1:15" ht="18" x14ac:dyDescent="0.55000000000000004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</row>
    <row r="1702" spans="1:15" ht="18" x14ac:dyDescent="0.55000000000000004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</row>
    <row r="1703" spans="1:15" ht="18" x14ac:dyDescent="0.55000000000000004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</row>
    <row r="1704" spans="1:15" ht="18" x14ac:dyDescent="0.55000000000000004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</row>
    <row r="1705" spans="1:15" ht="18" x14ac:dyDescent="0.55000000000000004">
      <c r="A1705"/>
      <c r="B1705"/>
      <c r="C1705"/>
      <c r="D1705"/>
      <c r="E1705"/>
      <c r="F1705"/>
      <c r="G1705"/>
      <c r="H1705"/>
      <c r="I1705"/>
      <c r="J1705"/>
      <c r="K1705"/>
      <c r="L1705"/>
      <c r="M1705"/>
      <c r="N1705"/>
      <c r="O1705"/>
    </row>
    <row r="1706" spans="1:15" ht="18" x14ac:dyDescent="0.55000000000000004">
      <c r="A1706"/>
      <c r="B1706"/>
      <c r="C1706"/>
      <c r="D1706"/>
      <c r="E1706"/>
      <c r="F1706"/>
      <c r="G1706"/>
      <c r="H1706"/>
      <c r="I1706"/>
      <c r="J1706"/>
      <c r="K1706"/>
      <c r="L1706"/>
      <c r="M1706"/>
      <c r="N1706"/>
      <c r="O1706"/>
    </row>
    <row r="1707" spans="1:15" ht="18" x14ac:dyDescent="0.55000000000000004">
      <c r="A1707"/>
      <c r="B1707"/>
      <c r="C1707"/>
      <c r="D1707"/>
      <c r="E1707"/>
      <c r="F1707"/>
      <c r="G1707"/>
      <c r="H1707"/>
      <c r="I1707"/>
      <c r="J1707"/>
      <c r="K1707"/>
      <c r="L1707"/>
      <c r="M1707"/>
      <c r="N1707"/>
      <c r="O1707"/>
    </row>
    <row r="1708" spans="1:15" ht="18" x14ac:dyDescent="0.55000000000000004">
      <c r="A1708"/>
      <c r="B1708"/>
      <c r="C1708"/>
      <c r="D1708"/>
      <c r="E1708"/>
      <c r="F1708"/>
      <c r="G1708"/>
      <c r="H1708"/>
      <c r="I1708"/>
      <c r="J1708"/>
      <c r="K1708"/>
      <c r="L1708"/>
      <c r="M1708"/>
      <c r="N1708"/>
      <c r="O1708"/>
    </row>
    <row r="1709" spans="1:15" ht="18" x14ac:dyDescent="0.55000000000000004">
      <c r="A1709"/>
      <c r="B1709"/>
      <c r="C1709"/>
      <c r="D1709"/>
      <c r="E1709"/>
      <c r="F1709"/>
      <c r="G1709"/>
      <c r="H1709"/>
      <c r="I1709"/>
      <c r="J1709"/>
      <c r="K1709"/>
      <c r="L1709"/>
      <c r="M1709"/>
      <c r="N1709"/>
      <c r="O1709"/>
    </row>
    <row r="1710" spans="1:15" ht="18" x14ac:dyDescent="0.55000000000000004">
      <c r="A1710"/>
      <c r="B1710"/>
      <c r="C1710"/>
      <c r="D1710"/>
      <c r="E1710"/>
      <c r="F1710"/>
      <c r="G1710"/>
      <c r="H1710"/>
      <c r="I1710"/>
      <c r="J1710"/>
      <c r="K1710"/>
      <c r="L1710"/>
      <c r="M1710"/>
      <c r="N1710"/>
      <c r="O1710"/>
    </row>
    <row r="1711" spans="1:15" ht="18" x14ac:dyDescent="0.55000000000000004">
      <c r="A1711"/>
      <c r="B1711"/>
      <c r="C1711"/>
      <c r="D1711"/>
      <c r="E1711"/>
      <c r="F1711"/>
      <c r="G1711"/>
      <c r="H1711"/>
      <c r="I1711"/>
      <c r="J1711"/>
      <c r="K1711"/>
      <c r="L1711"/>
      <c r="M1711"/>
      <c r="N1711"/>
      <c r="O1711"/>
    </row>
    <row r="1712" spans="1:15" ht="18" x14ac:dyDescent="0.55000000000000004">
      <c r="A1712"/>
      <c r="B1712"/>
      <c r="C1712"/>
      <c r="D1712"/>
      <c r="E1712"/>
      <c r="F1712"/>
      <c r="G1712"/>
      <c r="H1712"/>
      <c r="I1712"/>
      <c r="J1712"/>
      <c r="K1712"/>
      <c r="L1712"/>
      <c r="M1712"/>
      <c r="N1712"/>
      <c r="O1712"/>
    </row>
    <row r="1713" spans="1:15" ht="18" x14ac:dyDescent="0.55000000000000004">
      <c r="A1713"/>
      <c r="B1713"/>
      <c r="C1713"/>
      <c r="D1713"/>
      <c r="E1713"/>
      <c r="F1713"/>
      <c r="G1713"/>
      <c r="H1713"/>
      <c r="I1713"/>
      <c r="J1713"/>
      <c r="K1713"/>
      <c r="L1713"/>
      <c r="M1713"/>
      <c r="N1713"/>
      <c r="O1713"/>
    </row>
    <row r="1714" spans="1:15" ht="18" x14ac:dyDescent="0.55000000000000004">
      <c r="A1714"/>
      <c r="B1714"/>
      <c r="C1714"/>
      <c r="D1714"/>
      <c r="E1714"/>
      <c r="F1714"/>
      <c r="G1714"/>
      <c r="H1714"/>
      <c r="I1714"/>
      <c r="J1714"/>
      <c r="K1714"/>
      <c r="L1714"/>
      <c r="M1714"/>
      <c r="N1714"/>
      <c r="O1714"/>
    </row>
    <row r="1715" spans="1:15" ht="18" x14ac:dyDescent="0.55000000000000004">
      <c r="A1715"/>
      <c r="B1715"/>
      <c r="C1715"/>
      <c r="D1715"/>
      <c r="E1715"/>
      <c r="F1715"/>
      <c r="G1715"/>
      <c r="H1715"/>
      <c r="I1715"/>
      <c r="J1715"/>
      <c r="K1715"/>
      <c r="L1715"/>
      <c r="M1715"/>
      <c r="N1715"/>
      <c r="O1715"/>
    </row>
    <row r="1716" spans="1:15" ht="18" x14ac:dyDescent="0.55000000000000004">
      <c r="A1716"/>
      <c r="B1716"/>
      <c r="C1716"/>
      <c r="D1716"/>
      <c r="E1716"/>
      <c r="F1716"/>
      <c r="G1716"/>
      <c r="H1716"/>
      <c r="I1716"/>
      <c r="J1716"/>
      <c r="K1716"/>
      <c r="L1716"/>
      <c r="M1716"/>
      <c r="N1716"/>
      <c r="O1716"/>
    </row>
    <row r="1717" spans="1:15" ht="18" x14ac:dyDescent="0.55000000000000004">
      <c r="A1717"/>
      <c r="B1717"/>
      <c r="C1717"/>
      <c r="D1717"/>
      <c r="E1717"/>
      <c r="F1717"/>
      <c r="G1717"/>
      <c r="H1717"/>
      <c r="I1717"/>
      <c r="J1717"/>
      <c r="K1717"/>
      <c r="L1717"/>
      <c r="M1717"/>
      <c r="N1717"/>
      <c r="O1717"/>
    </row>
    <row r="1718" spans="1:15" ht="18" x14ac:dyDescent="0.55000000000000004">
      <c r="A1718"/>
      <c r="B1718"/>
      <c r="C1718"/>
      <c r="D1718"/>
      <c r="E1718"/>
      <c r="F1718"/>
      <c r="G1718"/>
      <c r="H1718"/>
      <c r="I1718"/>
      <c r="J1718"/>
      <c r="K1718"/>
      <c r="L1718"/>
      <c r="M1718"/>
      <c r="N1718"/>
      <c r="O1718"/>
    </row>
    <row r="1719" spans="1:15" ht="18" x14ac:dyDescent="0.55000000000000004">
      <c r="A1719"/>
      <c r="B1719"/>
      <c r="C1719"/>
      <c r="D1719"/>
      <c r="E1719"/>
      <c r="F1719"/>
      <c r="G1719"/>
      <c r="H1719"/>
      <c r="I1719"/>
      <c r="J1719"/>
      <c r="K1719"/>
      <c r="L1719"/>
      <c r="M1719"/>
      <c r="N1719"/>
      <c r="O1719"/>
    </row>
    <row r="1720" spans="1:15" ht="18" x14ac:dyDescent="0.55000000000000004">
      <c r="A1720"/>
      <c r="B1720"/>
      <c r="C1720"/>
      <c r="D1720"/>
      <c r="E1720"/>
      <c r="F1720"/>
      <c r="G1720"/>
      <c r="H1720"/>
      <c r="I1720"/>
      <c r="J1720"/>
      <c r="K1720"/>
      <c r="L1720"/>
      <c r="M1720"/>
      <c r="N1720"/>
      <c r="O1720"/>
    </row>
    <row r="1721" spans="1:15" ht="18" x14ac:dyDescent="0.55000000000000004">
      <c r="A1721"/>
      <c r="B1721"/>
      <c r="C1721"/>
      <c r="D1721"/>
      <c r="E1721"/>
      <c r="F1721"/>
      <c r="G1721"/>
      <c r="H1721"/>
      <c r="I1721"/>
      <c r="J1721"/>
      <c r="K1721"/>
      <c r="L1721"/>
      <c r="M1721"/>
      <c r="N1721"/>
      <c r="O1721"/>
    </row>
    <row r="1722" spans="1:15" ht="18" x14ac:dyDescent="0.55000000000000004">
      <c r="A1722"/>
      <c r="B1722"/>
      <c r="C1722"/>
      <c r="D1722"/>
      <c r="E1722"/>
      <c r="F1722"/>
      <c r="G1722"/>
      <c r="H1722"/>
      <c r="I1722"/>
      <c r="J1722"/>
      <c r="K1722"/>
      <c r="L1722"/>
      <c r="M1722"/>
      <c r="N1722"/>
      <c r="O1722"/>
    </row>
    <row r="1723" spans="1:15" ht="18" x14ac:dyDescent="0.55000000000000004">
      <c r="A1723"/>
      <c r="B1723"/>
      <c r="C1723"/>
      <c r="D1723"/>
      <c r="E1723"/>
      <c r="F1723"/>
      <c r="G1723"/>
      <c r="H1723"/>
      <c r="I1723"/>
      <c r="J1723"/>
      <c r="K1723"/>
      <c r="L1723"/>
      <c r="M1723"/>
      <c r="N1723"/>
      <c r="O1723"/>
    </row>
    <row r="1724" spans="1:15" ht="18" x14ac:dyDescent="0.55000000000000004">
      <c r="A1724"/>
      <c r="B1724"/>
      <c r="C1724"/>
      <c r="D1724"/>
      <c r="E1724"/>
      <c r="F1724"/>
      <c r="G1724"/>
      <c r="H1724"/>
      <c r="I1724"/>
      <c r="J1724"/>
      <c r="K1724"/>
      <c r="L1724"/>
      <c r="M1724"/>
      <c r="N1724"/>
      <c r="O1724"/>
    </row>
    <row r="1725" spans="1:15" ht="18" x14ac:dyDescent="0.55000000000000004">
      <c r="A1725"/>
      <c r="B1725"/>
      <c r="C1725"/>
      <c r="D1725"/>
      <c r="E1725"/>
      <c r="F1725"/>
      <c r="G1725"/>
      <c r="H1725"/>
      <c r="I1725"/>
      <c r="J1725"/>
      <c r="K1725"/>
      <c r="L1725"/>
      <c r="M1725"/>
      <c r="N1725"/>
      <c r="O1725"/>
    </row>
    <row r="1726" spans="1:15" ht="18" x14ac:dyDescent="0.55000000000000004">
      <c r="A1726"/>
      <c r="B1726"/>
      <c r="C1726"/>
      <c r="D1726"/>
      <c r="E1726"/>
      <c r="F1726"/>
      <c r="G1726"/>
      <c r="H1726"/>
      <c r="I1726"/>
      <c r="J1726"/>
      <c r="K1726"/>
      <c r="L1726"/>
      <c r="M1726"/>
      <c r="N1726"/>
      <c r="O1726"/>
    </row>
    <row r="1727" spans="1:15" ht="18" x14ac:dyDescent="0.55000000000000004">
      <c r="A1727"/>
      <c r="B1727"/>
      <c r="C1727"/>
      <c r="D1727"/>
      <c r="E1727"/>
      <c r="F1727"/>
      <c r="G1727"/>
      <c r="H1727"/>
      <c r="I1727"/>
      <c r="J1727"/>
      <c r="K1727"/>
      <c r="L1727"/>
      <c r="M1727"/>
      <c r="N1727"/>
      <c r="O1727"/>
    </row>
    <row r="1728" spans="1:15" ht="18" x14ac:dyDescent="0.55000000000000004">
      <c r="A1728"/>
      <c r="B1728"/>
      <c r="C1728"/>
      <c r="D1728"/>
      <c r="E1728"/>
      <c r="F1728"/>
      <c r="G1728"/>
      <c r="H1728"/>
      <c r="I1728"/>
      <c r="J1728"/>
      <c r="K1728"/>
      <c r="L1728"/>
      <c r="M1728"/>
      <c r="N1728"/>
      <c r="O1728"/>
    </row>
    <row r="1729" spans="1:15" ht="18" x14ac:dyDescent="0.55000000000000004">
      <c r="A1729"/>
      <c r="B1729"/>
      <c r="C1729"/>
      <c r="D1729"/>
      <c r="E1729"/>
      <c r="F1729"/>
      <c r="G1729"/>
      <c r="H1729"/>
      <c r="I1729"/>
      <c r="J1729"/>
      <c r="K1729"/>
      <c r="L1729"/>
      <c r="M1729"/>
      <c r="N1729"/>
      <c r="O1729"/>
    </row>
    <row r="1730" spans="1:15" ht="18" x14ac:dyDescent="0.55000000000000004">
      <c r="A1730"/>
      <c r="B1730"/>
      <c r="C1730"/>
      <c r="D1730"/>
      <c r="E1730"/>
      <c r="F1730"/>
      <c r="G1730"/>
      <c r="H1730"/>
      <c r="I1730"/>
      <c r="J1730"/>
      <c r="K1730"/>
      <c r="L1730"/>
      <c r="M1730"/>
      <c r="N1730"/>
      <c r="O1730"/>
    </row>
    <row r="1731" spans="1:15" ht="18" x14ac:dyDescent="0.55000000000000004">
      <c r="A1731"/>
      <c r="B1731"/>
      <c r="C1731"/>
      <c r="D1731"/>
      <c r="E1731"/>
      <c r="F1731"/>
      <c r="G1731"/>
      <c r="H1731"/>
      <c r="I1731"/>
      <c r="J1731"/>
      <c r="K1731"/>
      <c r="L1731"/>
      <c r="M1731"/>
      <c r="N1731"/>
      <c r="O1731"/>
    </row>
    <row r="1732" spans="1:15" ht="18" x14ac:dyDescent="0.55000000000000004">
      <c r="A1732"/>
      <c r="B1732"/>
      <c r="C1732"/>
      <c r="D1732"/>
      <c r="E1732"/>
      <c r="F1732"/>
      <c r="G1732"/>
      <c r="H1732"/>
      <c r="I1732"/>
      <c r="J1732"/>
      <c r="K1732"/>
      <c r="L1732"/>
      <c r="M1732"/>
      <c r="N1732"/>
      <c r="O1732"/>
    </row>
    <row r="1733" spans="1:15" ht="18" x14ac:dyDescent="0.55000000000000004">
      <c r="A1733"/>
      <c r="B1733"/>
      <c r="C1733"/>
      <c r="D1733"/>
      <c r="E1733"/>
      <c r="F1733"/>
      <c r="G1733"/>
      <c r="H1733"/>
      <c r="I1733"/>
      <c r="J1733"/>
      <c r="K1733"/>
      <c r="L1733"/>
      <c r="M1733"/>
      <c r="N1733"/>
      <c r="O1733"/>
    </row>
    <row r="1734" spans="1:15" ht="18" x14ac:dyDescent="0.55000000000000004">
      <c r="A1734"/>
      <c r="B1734"/>
      <c r="C1734"/>
      <c r="D1734"/>
      <c r="E1734"/>
      <c r="F1734"/>
      <c r="G1734"/>
      <c r="H1734"/>
      <c r="I1734"/>
      <c r="J1734"/>
      <c r="K1734"/>
      <c r="L1734"/>
      <c r="M1734"/>
      <c r="N1734"/>
      <c r="O1734"/>
    </row>
    <row r="1735" spans="1:15" ht="18" x14ac:dyDescent="0.55000000000000004">
      <c r="A1735"/>
      <c r="B1735"/>
      <c r="C1735"/>
      <c r="D1735"/>
      <c r="E1735"/>
      <c r="F1735"/>
      <c r="G1735"/>
      <c r="H1735"/>
      <c r="I1735"/>
      <c r="J1735"/>
      <c r="K1735"/>
      <c r="L1735"/>
      <c r="M1735"/>
      <c r="N1735"/>
      <c r="O1735"/>
    </row>
    <row r="1736" spans="1:15" ht="18" x14ac:dyDescent="0.55000000000000004">
      <c r="A1736"/>
      <c r="B1736"/>
      <c r="C1736"/>
      <c r="D1736"/>
      <c r="E1736"/>
      <c r="F1736"/>
      <c r="G1736"/>
      <c r="H1736"/>
      <c r="I1736"/>
      <c r="J1736"/>
      <c r="K1736"/>
      <c r="L1736"/>
      <c r="M1736"/>
      <c r="N1736"/>
      <c r="O1736"/>
    </row>
    <row r="1737" spans="1:15" ht="18" x14ac:dyDescent="0.55000000000000004">
      <c r="A1737"/>
      <c r="B1737"/>
      <c r="C1737"/>
      <c r="D1737"/>
      <c r="E1737"/>
      <c r="F1737"/>
      <c r="G1737"/>
      <c r="H1737"/>
      <c r="I1737"/>
      <c r="J1737"/>
      <c r="K1737"/>
      <c r="L1737"/>
      <c r="M1737"/>
      <c r="N1737"/>
      <c r="O1737"/>
    </row>
    <row r="1738" spans="1:15" ht="18" x14ac:dyDescent="0.55000000000000004">
      <c r="A1738"/>
      <c r="B1738"/>
      <c r="C1738"/>
      <c r="D1738"/>
      <c r="E1738"/>
      <c r="F1738"/>
      <c r="G1738"/>
      <c r="H1738"/>
      <c r="I1738"/>
      <c r="J1738"/>
      <c r="K1738"/>
      <c r="L1738"/>
      <c r="M1738"/>
      <c r="N1738"/>
      <c r="O1738"/>
    </row>
    <row r="1739" spans="1:15" ht="18" x14ac:dyDescent="0.55000000000000004">
      <c r="A1739"/>
      <c r="B1739"/>
      <c r="C1739"/>
      <c r="D1739"/>
      <c r="E1739"/>
      <c r="F1739"/>
      <c r="G1739"/>
      <c r="H1739"/>
      <c r="I1739"/>
      <c r="J1739"/>
      <c r="K1739"/>
      <c r="L1739"/>
      <c r="M1739"/>
      <c r="N1739"/>
      <c r="O1739"/>
    </row>
    <row r="1740" spans="1:15" ht="18" x14ac:dyDescent="0.55000000000000004">
      <c r="A1740"/>
      <c r="B1740"/>
      <c r="C1740"/>
      <c r="D1740"/>
      <c r="E1740"/>
      <c r="F1740"/>
      <c r="G1740"/>
      <c r="H1740"/>
      <c r="I1740"/>
      <c r="J1740"/>
      <c r="K1740"/>
      <c r="L1740"/>
      <c r="M1740"/>
      <c r="N1740"/>
      <c r="O1740"/>
    </row>
    <row r="1741" spans="1:15" ht="18" x14ac:dyDescent="0.55000000000000004">
      <c r="A1741"/>
      <c r="B1741"/>
      <c r="C1741"/>
      <c r="D1741"/>
      <c r="E1741"/>
      <c r="F1741"/>
      <c r="G1741"/>
      <c r="H1741"/>
      <c r="I1741"/>
      <c r="J1741"/>
      <c r="K1741"/>
      <c r="L1741"/>
      <c r="M1741"/>
      <c r="N1741"/>
      <c r="O1741"/>
    </row>
    <row r="1742" spans="1:15" ht="18" x14ac:dyDescent="0.55000000000000004">
      <c r="A1742"/>
      <c r="B1742"/>
      <c r="C1742"/>
      <c r="D1742"/>
      <c r="E1742"/>
      <c r="F1742"/>
      <c r="G1742"/>
      <c r="H1742"/>
      <c r="I1742"/>
      <c r="J1742"/>
      <c r="K1742"/>
      <c r="L1742"/>
      <c r="M1742"/>
      <c r="N1742"/>
      <c r="O1742"/>
    </row>
    <row r="1743" spans="1:15" ht="18" x14ac:dyDescent="0.55000000000000004">
      <c r="A1743"/>
      <c r="B1743"/>
      <c r="C1743"/>
      <c r="D1743"/>
      <c r="E1743"/>
      <c r="F1743"/>
      <c r="G1743"/>
      <c r="H1743"/>
      <c r="I1743"/>
      <c r="J1743"/>
      <c r="K1743"/>
      <c r="L1743"/>
      <c r="M1743"/>
      <c r="N1743"/>
      <c r="O1743"/>
    </row>
    <row r="1744" spans="1:15" ht="18" x14ac:dyDescent="0.55000000000000004">
      <c r="A1744"/>
      <c r="B1744"/>
      <c r="C1744"/>
      <c r="D1744"/>
      <c r="E1744"/>
      <c r="F1744"/>
      <c r="G1744"/>
      <c r="H1744"/>
      <c r="I1744"/>
      <c r="J1744"/>
      <c r="K1744"/>
      <c r="L1744"/>
      <c r="M1744"/>
      <c r="N1744"/>
      <c r="O1744"/>
    </row>
    <row r="1745" spans="1:15" ht="18" x14ac:dyDescent="0.55000000000000004">
      <c r="A1745"/>
      <c r="B1745"/>
      <c r="C1745"/>
      <c r="D1745"/>
      <c r="E1745"/>
      <c r="F1745"/>
      <c r="G1745"/>
      <c r="H1745"/>
      <c r="I1745"/>
      <c r="J1745"/>
      <c r="K1745"/>
      <c r="L1745"/>
      <c r="M1745"/>
      <c r="N1745"/>
      <c r="O1745"/>
    </row>
    <row r="1746" spans="1:15" ht="18" x14ac:dyDescent="0.55000000000000004">
      <c r="A1746"/>
      <c r="B1746"/>
      <c r="C1746"/>
      <c r="D1746"/>
      <c r="E1746"/>
      <c r="F1746"/>
      <c r="G1746"/>
      <c r="H1746"/>
      <c r="I1746"/>
      <c r="J1746"/>
      <c r="K1746"/>
      <c r="L1746"/>
      <c r="M1746"/>
      <c r="N1746"/>
      <c r="O1746"/>
    </row>
    <row r="1747" spans="1:15" ht="18" x14ac:dyDescent="0.55000000000000004">
      <c r="A1747"/>
      <c r="B1747"/>
      <c r="C1747"/>
      <c r="D1747"/>
      <c r="E1747"/>
      <c r="F1747"/>
      <c r="G1747"/>
      <c r="H1747"/>
      <c r="I1747"/>
      <c r="J1747"/>
      <c r="K1747"/>
      <c r="L1747"/>
      <c r="M1747"/>
      <c r="N1747"/>
      <c r="O1747"/>
    </row>
    <row r="1748" spans="1:15" ht="18" x14ac:dyDescent="0.55000000000000004">
      <c r="A1748"/>
      <c r="B1748"/>
      <c r="C1748"/>
      <c r="D1748"/>
      <c r="E1748"/>
      <c r="F1748"/>
      <c r="G1748"/>
      <c r="H1748"/>
      <c r="I1748"/>
      <c r="J1748"/>
      <c r="K1748"/>
      <c r="L1748"/>
      <c r="M1748"/>
      <c r="N1748"/>
      <c r="O1748"/>
    </row>
    <row r="1749" spans="1:15" ht="18" x14ac:dyDescent="0.55000000000000004">
      <c r="A1749"/>
      <c r="B1749"/>
      <c r="C1749"/>
      <c r="D1749"/>
      <c r="E1749"/>
      <c r="F1749"/>
      <c r="G1749"/>
      <c r="H1749"/>
      <c r="I1749"/>
      <c r="J1749"/>
      <c r="K1749"/>
      <c r="L1749"/>
      <c r="M1749"/>
      <c r="N1749"/>
      <c r="O1749"/>
    </row>
    <row r="1750" spans="1:15" ht="18" x14ac:dyDescent="0.55000000000000004">
      <c r="A1750"/>
      <c r="B1750"/>
      <c r="C1750"/>
      <c r="D1750"/>
      <c r="E1750"/>
      <c r="F1750"/>
      <c r="G1750"/>
      <c r="H1750"/>
      <c r="I1750"/>
      <c r="J1750"/>
      <c r="K1750"/>
      <c r="L1750"/>
      <c r="M1750"/>
      <c r="N1750"/>
      <c r="O1750"/>
    </row>
    <row r="1751" spans="1:15" ht="18" x14ac:dyDescent="0.55000000000000004">
      <c r="A1751"/>
      <c r="B1751"/>
      <c r="C1751"/>
      <c r="D1751"/>
      <c r="E1751"/>
      <c r="F1751"/>
      <c r="G1751"/>
      <c r="H1751"/>
      <c r="I1751"/>
      <c r="J1751"/>
      <c r="K1751"/>
      <c r="L1751"/>
      <c r="M1751"/>
      <c r="N1751"/>
      <c r="O1751"/>
    </row>
    <row r="1752" spans="1:15" ht="18" x14ac:dyDescent="0.55000000000000004">
      <c r="A1752"/>
      <c r="B1752"/>
      <c r="C1752"/>
      <c r="D1752"/>
      <c r="E1752"/>
      <c r="F1752"/>
      <c r="G1752"/>
      <c r="H1752"/>
      <c r="I1752"/>
      <c r="J1752"/>
      <c r="K1752"/>
      <c r="L1752"/>
      <c r="M1752"/>
      <c r="N1752"/>
      <c r="O1752"/>
    </row>
    <row r="1753" spans="1:15" ht="18" x14ac:dyDescent="0.55000000000000004">
      <c r="A1753"/>
      <c r="B1753"/>
      <c r="C1753"/>
      <c r="D1753"/>
      <c r="E1753"/>
      <c r="F1753"/>
      <c r="G1753"/>
      <c r="H1753"/>
      <c r="I1753"/>
      <c r="J1753"/>
      <c r="K1753"/>
      <c r="L1753"/>
      <c r="M1753"/>
      <c r="N1753"/>
      <c r="O1753"/>
    </row>
    <row r="1754" spans="1:15" ht="18" x14ac:dyDescent="0.55000000000000004">
      <c r="A1754"/>
      <c r="B1754"/>
      <c r="C1754"/>
      <c r="D1754"/>
      <c r="E1754"/>
      <c r="F1754"/>
      <c r="G1754"/>
      <c r="H1754"/>
      <c r="I1754"/>
      <c r="J1754"/>
      <c r="K1754"/>
      <c r="L1754"/>
      <c r="M1754"/>
      <c r="N1754"/>
      <c r="O1754"/>
    </row>
    <row r="1755" spans="1:15" ht="18" x14ac:dyDescent="0.55000000000000004">
      <c r="A1755"/>
      <c r="B1755"/>
      <c r="C1755"/>
      <c r="D1755"/>
      <c r="E1755"/>
      <c r="F1755"/>
      <c r="G1755"/>
      <c r="H1755"/>
      <c r="I1755"/>
      <c r="J1755"/>
      <c r="K1755"/>
      <c r="L1755"/>
      <c r="M1755"/>
      <c r="N1755"/>
      <c r="O1755"/>
    </row>
    <row r="1756" spans="1:15" ht="18" x14ac:dyDescent="0.55000000000000004">
      <c r="A1756"/>
      <c r="B1756"/>
      <c r="C1756"/>
      <c r="D1756"/>
      <c r="E1756"/>
      <c r="F1756"/>
      <c r="G1756"/>
      <c r="H1756"/>
      <c r="I1756"/>
      <c r="J1756"/>
      <c r="K1756"/>
      <c r="L1756"/>
      <c r="M1756"/>
      <c r="N1756"/>
      <c r="O1756"/>
    </row>
    <row r="1757" spans="1:15" ht="18" x14ac:dyDescent="0.55000000000000004">
      <c r="A1757"/>
      <c r="B1757"/>
      <c r="C1757"/>
      <c r="D1757"/>
      <c r="E1757"/>
      <c r="F1757"/>
      <c r="G1757"/>
      <c r="H1757"/>
      <c r="I1757"/>
      <c r="J1757"/>
      <c r="K1757"/>
      <c r="L1757"/>
      <c r="M1757"/>
      <c r="N1757"/>
      <c r="O1757"/>
    </row>
    <row r="1758" spans="1:15" ht="18" x14ac:dyDescent="0.55000000000000004">
      <c r="A1758"/>
      <c r="B1758"/>
      <c r="C1758"/>
      <c r="D1758"/>
      <c r="E1758"/>
      <c r="F1758"/>
      <c r="G1758"/>
      <c r="H1758"/>
      <c r="I1758"/>
      <c r="J1758"/>
      <c r="K1758"/>
      <c r="L1758"/>
      <c r="M1758"/>
      <c r="N1758"/>
      <c r="O1758"/>
    </row>
    <row r="1759" spans="1:15" ht="18" x14ac:dyDescent="0.55000000000000004">
      <c r="A1759"/>
      <c r="B1759"/>
      <c r="C1759"/>
      <c r="D1759"/>
      <c r="E1759"/>
      <c r="F1759"/>
      <c r="G1759"/>
      <c r="H1759"/>
      <c r="I1759"/>
      <c r="J1759"/>
      <c r="K1759"/>
      <c r="L1759"/>
      <c r="M1759"/>
      <c r="N1759"/>
      <c r="O1759"/>
    </row>
    <row r="1760" spans="1:15" ht="18" x14ac:dyDescent="0.55000000000000004">
      <c r="A1760"/>
      <c r="B1760"/>
      <c r="C1760"/>
      <c r="D1760"/>
      <c r="E1760"/>
      <c r="F1760"/>
      <c r="G1760"/>
      <c r="H1760"/>
      <c r="I1760"/>
      <c r="J1760"/>
      <c r="K1760"/>
      <c r="L1760"/>
      <c r="M1760"/>
      <c r="N1760"/>
      <c r="O1760"/>
    </row>
    <row r="1761" spans="1:15" ht="18" x14ac:dyDescent="0.55000000000000004">
      <c r="A1761"/>
      <c r="B1761"/>
      <c r="C1761"/>
      <c r="D1761"/>
      <c r="E1761"/>
      <c r="F1761"/>
      <c r="G1761"/>
      <c r="H1761"/>
      <c r="I1761"/>
      <c r="J1761"/>
      <c r="K1761"/>
      <c r="L1761"/>
      <c r="M1761"/>
      <c r="N1761"/>
      <c r="O1761"/>
    </row>
    <row r="1762" spans="1:15" ht="18" x14ac:dyDescent="0.55000000000000004">
      <c r="A1762"/>
      <c r="B1762"/>
      <c r="C1762"/>
      <c r="D1762"/>
      <c r="E1762"/>
      <c r="F1762"/>
      <c r="G1762"/>
      <c r="H1762"/>
      <c r="I1762"/>
      <c r="J1762"/>
      <c r="K1762"/>
      <c r="L1762"/>
      <c r="M1762"/>
      <c r="N1762"/>
      <c r="O1762"/>
    </row>
    <row r="1763" spans="1:15" ht="18" x14ac:dyDescent="0.55000000000000004">
      <c r="A1763"/>
      <c r="B1763"/>
      <c r="C1763"/>
      <c r="D1763"/>
      <c r="E1763"/>
      <c r="F1763"/>
      <c r="G1763"/>
      <c r="H1763"/>
      <c r="I1763"/>
      <c r="J1763"/>
      <c r="K1763"/>
      <c r="L1763"/>
      <c r="M1763"/>
      <c r="N1763"/>
      <c r="O1763"/>
    </row>
    <row r="1764" spans="1:15" ht="18" x14ac:dyDescent="0.55000000000000004">
      <c r="A1764"/>
      <c r="B1764"/>
      <c r="C1764"/>
      <c r="D1764"/>
      <c r="E1764"/>
      <c r="F1764"/>
      <c r="G1764"/>
      <c r="H1764"/>
      <c r="I1764"/>
      <c r="J1764"/>
      <c r="K1764"/>
      <c r="L1764"/>
      <c r="M1764"/>
      <c r="N1764"/>
      <c r="O1764"/>
    </row>
    <row r="1765" spans="1:15" ht="18" x14ac:dyDescent="0.55000000000000004">
      <c r="A1765"/>
      <c r="B1765"/>
      <c r="C1765"/>
      <c r="D1765"/>
      <c r="E1765"/>
      <c r="F1765"/>
      <c r="G1765"/>
      <c r="H1765"/>
      <c r="I1765"/>
      <c r="J1765"/>
      <c r="K1765"/>
      <c r="L1765"/>
      <c r="M1765"/>
      <c r="N1765"/>
      <c r="O1765"/>
    </row>
    <row r="1766" spans="1:15" ht="18" x14ac:dyDescent="0.55000000000000004">
      <c r="A1766"/>
      <c r="B1766"/>
      <c r="C1766"/>
      <c r="D1766"/>
      <c r="E1766"/>
      <c r="F1766"/>
      <c r="G1766"/>
      <c r="H1766"/>
      <c r="I1766"/>
      <c r="J1766"/>
      <c r="K1766"/>
      <c r="L1766"/>
      <c r="M1766"/>
      <c r="N1766"/>
      <c r="O1766"/>
    </row>
    <row r="1767" spans="1:15" ht="18" x14ac:dyDescent="0.55000000000000004">
      <c r="A1767"/>
      <c r="B1767"/>
      <c r="C1767"/>
      <c r="D1767"/>
      <c r="E1767"/>
      <c r="F1767"/>
      <c r="G1767"/>
      <c r="H1767"/>
      <c r="I1767"/>
      <c r="J1767"/>
      <c r="K1767"/>
      <c r="L1767"/>
      <c r="M1767"/>
      <c r="N1767"/>
      <c r="O1767"/>
    </row>
    <row r="1768" spans="1:15" ht="18" x14ac:dyDescent="0.55000000000000004">
      <c r="A1768"/>
      <c r="B1768"/>
      <c r="C1768"/>
      <c r="D1768"/>
      <c r="E1768"/>
      <c r="F1768"/>
      <c r="G1768"/>
      <c r="H1768"/>
      <c r="I1768"/>
      <c r="J1768"/>
      <c r="K1768"/>
      <c r="L1768"/>
      <c r="M1768"/>
      <c r="N1768"/>
      <c r="O1768"/>
    </row>
    <row r="1769" spans="1:15" ht="18" x14ac:dyDescent="0.55000000000000004">
      <c r="A1769"/>
      <c r="B1769"/>
      <c r="C1769"/>
      <c r="D1769"/>
      <c r="E1769"/>
      <c r="F1769"/>
      <c r="G1769"/>
      <c r="H1769"/>
      <c r="I1769"/>
      <c r="J1769"/>
      <c r="K1769"/>
      <c r="L1769"/>
      <c r="M1769"/>
      <c r="N1769"/>
      <c r="O1769"/>
    </row>
    <row r="1770" spans="1:15" ht="18" x14ac:dyDescent="0.55000000000000004">
      <c r="A1770"/>
      <c r="B1770"/>
      <c r="C1770"/>
      <c r="D1770"/>
      <c r="E1770"/>
      <c r="F1770"/>
      <c r="G1770"/>
      <c r="H1770"/>
      <c r="I1770"/>
      <c r="J1770"/>
      <c r="K1770"/>
      <c r="L1770"/>
      <c r="M1770"/>
      <c r="N1770"/>
      <c r="O1770"/>
    </row>
    <row r="1771" spans="1:15" ht="18" x14ac:dyDescent="0.55000000000000004">
      <c r="A1771"/>
      <c r="B1771"/>
      <c r="C1771"/>
      <c r="D1771"/>
      <c r="E1771"/>
      <c r="F1771"/>
      <c r="G1771"/>
      <c r="H1771"/>
      <c r="I1771"/>
      <c r="J1771"/>
      <c r="K1771"/>
      <c r="L1771"/>
      <c r="M1771"/>
      <c r="N1771"/>
      <c r="O1771"/>
    </row>
    <row r="1772" spans="1:15" ht="18" x14ac:dyDescent="0.55000000000000004">
      <c r="A1772"/>
      <c r="B1772"/>
      <c r="C1772"/>
      <c r="D1772"/>
      <c r="E1772"/>
      <c r="F1772"/>
      <c r="G1772"/>
      <c r="H1772"/>
      <c r="I1772"/>
      <c r="J1772"/>
      <c r="K1772"/>
      <c r="L1772"/>
      <c r="M1772"/>
      <c r="N1772"/>
      <c r="O1772"/>
    </row>
    <row r="1773" spans="1:15" ht="18" x14ac:dyDescent="0.55000000000000004">
      <c r="A1773"/>
      <c r="B1773"/>
      <c r="C1773"/>
      <c r="D1773"/>
      <c r="E1773"/>
      <c r="F1773"/>
      <c r="G1773"/>
      <c r="H1773"/>
      <c r="I1773"/>
      <c r="J1773"/>
      <c r="K1773"/>
      <c r="L1773"/>
      <c r="M1773"/>
      <c r="N1773"/>
      <c r="O1773"/>
    </row>
    <row r="1774" spans="1:15" ht="18" x14ac:dyDescent="0.55000000000000004">
      <c r="A1774"/>
      <c r="B1774"/>
      <c r="C1774"/>
      <c r="D1774"/>
      <c r="E1774"/>
      <c r="F1774"/>
      <c r="G1774"/>
      <c r="H1774"/>
      <c r="I1774"/>
      <c r="J1774"/>
      <c r="K1774"/>
      <c r="L1774"/>
      <c r="M1774"/>
      <c r="N1774"/>
      <c r="O1774"/>
    </row>
    <row r="1775" spans="1:15" ht="18" x14ac:dyDescent="0.55000000000000004">
      <c r="A1775"/>
      <c r="B1775"/>
      <c r="C1775"/>
      <c r="D1775"/>
      <c r="E1775"/>
      <c r="F1775"/>
      <c r="G1775"/>
      <c r="H1775"/>
      <c r="I1775"/>
      <c r="J1775"/>
      <c r="K1775"/>
      <c r="L1775"/>
      <c r="M1775"/>
      <c r="N1775"/>
      <c r="O1775"/>
    </row>
    <row r="1776" spans="1:15" ht="18" x14ac:dyDescent="0.55000000000000004">
      <c r="A1776"/>
      <c r="B1776"/>
      <c r="C1776"/>
      <c r="D1776"/>
      <c r="E1776"/>
      <c r="F1776"/>
      <c r="G1776"/>
      <c r="H1776"/>
      <c r="I1776"/>
      <c r="J1776"/>
      <c r="K1776"/>
      <c r="L1776"/>
      <c r="M1776"/>
      <c r="N1776"/>
      <c r="O1776"/>
    </row>
    <row r="1777" spans="1:15" ht="18" x14ac:dyDescent="0.55000000000000004">
      <c r="A1777"/>
      <c r="B1777"/>
      <c r="C1777"/>
      <c r="D1777"/>
      <c r="E1777"/>
      <c r="F1777"/>
      <c r="G1777"/>
      <c r="H1777"/>
      <c r="I1777"/>
      <c r="J1777"/>
      <c r="K1777"/>
      <c r="L1777"/>
      <c r="M1777"/>
      <c r="N1777"/>
      <c r="O1777"/>
    </row>
    <row r="1778" spans="1:15" ht="18" x14ac:dyDescent="0.55000000000000004">
      <c r="A1778"/>
      <c r="B1778"/>
      <c r="C1778"/>
      <c r="D1778"/>
      <c r="E1778"/>
      <c r="F1778"/>
      <c r="G1778"/>
      <c r="H1778"/>
      <c r="I1778"/>
      <c r="J1778"/>
      <c r="K1778"/>
      <c r="L1778"/>
      <c r="M1778"/>
      <c r="N1778"/>
      <c r="O1778"/>
    </row>
    <row r="1779" spans="1:15" ht="18" x14ac:dyDescent="0.55000000000000004">
      <c r="A1779"/>
      <c r="B1779"/>
      <c r="C1779"/>
      <c r="D1779"/>
      <c r="E1779"/>
      <c r="F1779"/>
      <c r="G1779"/>
      <c r="H1779"/>
      <c r="I1779"/>
      <c r="J1779"/>
      <c r="K1779"/>
      <c r="L1779"/>
      <c r="M1779"/>
      <c r="N1779"/>
      <c r="O1779"/>
    </row>
    <row r="1780" spans="1:15" ht="18" x14ac:dyDescent="0.55000000000000004">
      <c r="A1780"/>
      <c r="B1780"/>
      <c r="C1780"/>
      <c r="D1780"/>
      <c r="E1780"/>
      <c r="F1780"/>
      <c r="G1780"/>
      <c r="H1780"/>
      <c r="I1780"/>
      <c r="J1780"/>
      <c r="K1780"/>
      <c r="L1780"/>
      <c r="M1780"/>
      <c r="N1780"/>
      <c r="O1780"/>
    </row>
    <row r="1781" spans="1:15" ht="18" x14ac:dyDescent="0.55000000000000004">
      <c r="A1781"/>
      <c r="B1781"/>
      <c r="C1781"/>
      <c r="D1781"/>
      <c r="E1781"/>
      <c r="F1781"/>
      <c r="G1781"/>
      <c r="H1781"/>
      <c r="I1781"/>
      <c r="J1781"/>
      <c r="K1781"/>
      <c r="L1781"/>
      <c r="M1781"/>
      <c r="N1781"/>
      <c r="O1781"/>
    </row>
    <row r="1782" spans="1:15" ht="18" x14ac:dyDescent="0.55000000000000004">
      <c r="A1782"/>
      <c r="B1782"/>
      <c r="C1782"/>
      <c r="D1782"/>
      <c r="E1782"/>
      <c r="F1782"/>
      <c r="G1782"/>
      <c r="H1782"/>
      <c r="I1782"/>
      <c r="J1782"/>
      <c r="K1782"/>
      <c r="L1782"/>
      <c r="M1782"/>
      <c r="N1782"/>
      <c r="O1782"/>
    </row>
    <row r="1783" spans="1:15" ht="18" x14ac:dyDescent="0.55000000000000004">
      <c r="A1783"/>
      <c r="B1783"/>
      <c r="C1783"/>
      <c r="D1783"/>
      <c r="E1783"/>
      <c r="F1783"/>
      <c r="G1783"/>
      <c r="H1783"/>
      <c r="I1783"/>
      <c r="J1783"/>
      <c r="K1783"/>
      <c r="L1783"/>
      <c r="M1783"/>
      <c r="N1783"/>
      <c r="O1783"/>
    </row>
    <row r="1784" spans="1:15" ht="18" x14ac:dyDescent="0.55000000000000004">
      <c r="A1784"/>
      <c r="B1784"/>
      <c r="C1784"/>
      <c r="D1784"/>
      <c r="E1784"/>
      <c r="F1784"/>
      <c r="G1784"/>
      <c r="H1784"/>
      <c r="I1784"/>
      <c r="J1784"/>
      <c r="K1784"/>
      <c r="L1784"/>
      <c r="M1784"/>
      <c r="N1784"/>
      <c r="O1784"/>
    </row>
    <row r="1785" spans="1:15" ht="18" x14ac:dyDescent="0.55000000000000004">
      <c r="A1785"/>
      <c r="B1785"/>
      <c r="C1785"/>
      <c r="D1785"/>
      <c r="E1785"/>
      <c r="F1785"/>
      <c r="G1785"/>
      <c r="H1785"/>
      <c r="I1785"/>
      <c r="J1785"/>
      <c r="K1785"/>
      <c r="L1785"/>
      <c r="M1785"/>
      <c r="N1785"/>
      <c r="O1785"/>
    </row>
    <row r="1786" spans="1:15" ht="18" x14ac:dyDescent="0.55000000000000004">
      <c r="A1786"/>
      <c r="B1786"/>
      <c r="C1786"/>
      <c r="D1786"/>
      <c r="E1786"/>
      <c r="F1786"/>
      <c r="G1786"/>
      <c r="H1786"/>
      <c r="I1786"/>
      <c r="J1786"/>
      <c r="K1786"/>
      <c r="L1786"/>
      <c r="M1786"/>
      <c r="N1786"/>
      <c r="O1786"/>
    </row>
    <row r="1787" spans="1:15" ht="18" x14ac:dyDescent="0.55000000000000004">
      <c r="A1787"/>
      <c r="B1787"/>
      <c r="C1787"/>
      <c r="D1787"/>
      <c r="E1787"/>
      <c r="F1787"/>
      <c r="G1787"/>
      <c r="H1787"/>
      <c r="I1787"/>
      <c r="J1787"/>
      <c r="K1787"/>
      <c r="L1787"/>
      <c r="M1787"/>
      <c r="N1787"/>
      <c r="O1787"/>
    </row>
    <row r="1788" spans="1:15" ht="18" x14ac:dyDescent="0.55000000000000004">
      <c r="A1788"/>
      <c r="B1788"/>
      <c r="C1788"/>
      <c r="D1788"/>
      <c r="E1788"/>
      <c r="F1788"/>
      <c r="G1788"/>
      <c r="H1788"/>
      <c r="I1788"/>
      <c r="J1788"/>
      <c r="K1788"/>
      <c r="L1788"/>
      <c r="M1788"/>
      <c r="N1788"/>
      <c r="O1788"/>
    </row>
    <row r="1789" spans="1:15" ht="18" x14ac:dyDescent="0.55000000000000004">
      <c r="A1789"/>
      <c r="B1789"/>
      <c r="C1789"/>
      <c r="D1789"/>
      <c r="E1789"/>
      <c r="F1789"/>
      <c r="G1789"/>
      <c r="H1789"/>
      <c r="I1789"/>
      <c r="J1789"/>
      <c r="K1789"/>
      <c r="L1789"/>
      <c r="M1789"/>
      <c r="N1789"/>
      <c r="O1789"/>
    </row>
    <row r="1790" spans="1:15" ht="18" x14ac:dyDescent="0.55000000000000004">
      <c r="A1790"/>
      <c r="B1790"/>
      <c r="C1790"/>
      <c r="D1790"/>
      <c r="E1790"/>
      <c r="F1790"/>
      <c r="G1790"/>
      <c r="H1790"/>
      <c r="I1790"/>
      <c r="J1790"/>
      <c r="K1790"/>
      <c r="L1790"/>
      <c r="M1790"/>
      <c r="N1790"/>
      <c r="O1790"/>
    </row>
    <row r="1791" spans="1:15" ht="18" x14ac:dyDescent="0.55000000000000004">
      <c r="A1791"/>
      <c r="B1791"/>
      <c r="C1791"/>
      <c r="D1791"/>
      <c r="E1791"/>
      <c r="F1791"/>
      <c r="G1791"/>
      <c r="H1791"/>
      <c r="I1791"/>
      <c r="J1791"/>
      <c r="K1791"/>
      <c r="L1791"/>
      <c r="M1791"/>
      <c r="N1791"/>
      <c r="O1791"/>
    </row>
    <row r="1792" spans="1:15" ht="18" x14ac:dyDescent="0.55000000000000004">
      <c r="A1792"/>
      <c r="B1792"/>
      <c r="C1792"/>
      <c r="D1792"/>
      <c r="E1792"/>
      <c r="F1792"/>
      <c r="G1792"/>
      <c r="H1792"/>
      <c r="I1792"/>
      <c r="J1792"/>
      <c r="K1792"/>
      <c r="L1792"/>
      <c r="M1792"/>
      <c r="N1792"/>
      <c r="O1792"/>
    </row>
    <row r="1793" spans="1:15" ht="18" x14ac:dyDescent="0.55000000000000004">
      <c r="A1793"/>
      <c r="B1793"/>
      <c r="C1793"/>
      <c r="D1793"/>
      <c r="E1793"/>
      <c r="F1793"/>
      <c r="G1793"/>
      <c r="H1793"/>
      <c r="I1793"/>
      <c r="J1793"/>
      <c r="K1793"/>
      <c r="L1793"/>
      <c r="M1793"/>
      <c r="N1793"/>
      <c r="O1793"/>
    </row>
    <row r="1794" spans="1:15" ht="18" x14ac:dyDescent="0.55000000000000004">
      <c r="A1794"/>
      <c r="B1794"/>
      <c r="C1794"/>
      <c r="D1794"/>
      <c r="E1794"/>
      <c r="F1794"/>
      <c r="G1794"/>
      <c r="H1794"/>
      <c r="I1794"/>
      <c r="J1794"/>
      <c r="K1794"/>
      <c r="L1794"/>
      <c r="M1794"/>
      <c r="N1794"/>
      <c r="O1794"/>
    </row>
    <row r="1795" spans="1:15" ht="18" x14ac:dyDescent="0.55000000000000004">
      <c r="A1795"/>
      <c r="B1795"/>
      <c r="C1795"/>
      <c r="D1795"/>
      <c r="E1795"/>
      <c r="F1795"/>
      <c r="G1795"/>
      <c r="H1795"/>
      <c r="I1795"/>
      <c r="J1795"/>
      <c r="K1795"/>
      <c r="L1795"/>
      <c r="M1795"/>
      <c r="N1795"/>
      <c r="O1795"/>
    </row>
    <row r="1796" spans="1:15" ht="18" x14ac:dyDescent="0.55000000000000004">
      <c r="A1796"/>
      <c r="B1796"/>
      <c r="C1796"/>
      <c r="D1796"/>
      <c r="E1796"/>
      <c r="F1796"/>
      <c r="G1796"/>
      <c r="H1796"/>
      <c r="I1796"/>
      <c r="J1796"/>
      <c r="K1796"/>
      <c r="L1796"/>
      <c r="M1796"/>
      <c r="N1796"/>
      <c r="O1796"/>
    </row>
    <row r="1797" spans="1:15" ht="18" x14ac:dyDescent="0.55000000000000004">
      <c r="A1797"/>
      <c r="B1797"/>
      <c r="C1797"/>
      <c r="D1797"/>
      <c r="E1797"/>
      <c r="F1797"/>
      <c r="G1797"/>
      <c r="H1797"/>
      <c r="I1797"/>
      <c r="J1797"/>
      <c r="K1797"/>
      <c r="L1797"/>
      <c r="M1797"/>
      <c r="N1797"/>
      <c r="O1797"/>
    </row>
    <row r="1798" spans="1:15" ht="18" x14ac:dyDescent="0.55000000000000004">
      <c r="A1798"/>
      <c r="B1798"/>
      <c r="C1798"/>
      <c r="D1798"/>
      <c r="E1798"/>
      <c r="F1798"/>
      <c r="G1798"/>
      <c r="H1798"/>
      <c r="I1798"/>
      <c r="J1798"/>
      <c r="K1798"/>
      <c r="L1798"/>
      <c r="M1798"/>
      <c r="N1798"/>
      <c r="O1798"/>
    </row>
    <row r="1799" spans="1:15" ht="18" x14ac:dyDescent="0.55000000000000004">
      <c r="A1799"/>
      <c r="B1799"/>
      <c r="C1799"/>
      <c r="D1799"/>
      <c r="E1799"/>
      <c r="F1799"/>
      <c r="G1799"/>
      <c r="H1799"/>
      <c r="I1799"/>
      <c r="J1799"/>
      <c r="K1799"/>
      <c r="L1799"/>
      <c r="M1799"/>
      <c r="N1799"/>
      <c r="O1799"/>
    </row>
    <row r="1800" spans="1:15" ht="18" x14ac:dyDescent="0.55000000000000004">
      <c r="A1800"/>
      <c r="B1800"/>
      <c r="C1800"/>
      <c r="D1800"/>
      <c r="E1800"/>
      <c r="F1800"/>
      <c r="G1800"/>
      <c r="H1800"/>
      <c r="I1800"/>
      <c r="J1800"/>
      <c r="K1800"/>
      <c r="L1800"/>
      <c r="M1800"/>
      <c r="N1800"/>
      <c r="O1800"/>
    </row>
    <row r="1801" spans="1:15" ht="18" x14ac:dyDescent="0.55000000000000004">
      <c r="A1801"/>
      <c r="B1801"/>
      <c r="C1801"/>
      <c r="D1801"/>
      <c r="E1801"/>
      <c r="F1801"/>
      <c r="G1801"/>
      <c r="H1801"/>
      <c r="I1801"/>
      <c r="J1801"/>
      <c r="K1801"/>
      <c r="L1801"/>
      <c r="M1801"/>
      <c r="N1801"/>
      <c r="O1801"/>
    </row>
    <row r="1802" spans="1:15" ht="18" x14ac:dyDescent="0.55000000000000004">
      <c r="A1802"/>
      <c r="B1802"/>
      <c r="C1802"/>
      <c r="D1802"/>
      <c r="E1802"/>
      <c r="F1802"/>
      <c r="G1802"/>
      <c r="H1802"/>
      <c r="I1802"/>
      <c r="J1802"/>
      <c r="K1802"/>
      <c r="L1802"/>
      <c r="M1802"/>
      <c r="N1802"/>
      <c r="O1802"/>
    </row>
    <row r="1803" spans="1:15" ht="18" x14ac:dyDescent="0.55000000000000004">
      <c r="A1803"/>
      <c r="B1803"/>
      <c r="C1803"/>
      <c r="D1803"/>
      <c r="E1803"/>
      <c r="F1803"/>
      <c r="G1803"/>
      <c r="H1803"/>
      <c r="I1803"/>
      <c r="J1803"/>
      <c r="K1803"/>
      <c r="L1803"/>
      <c r="M1803"/>
      <c r="N1803"/>
      <c r="O1803"/>
    </row>
    <row r="1804" spans="1:15" ht="18" x14ac:dyDescent="0.55000000000000004">
      <c r="A1804"/>
      <c r="B1804"/>
      <c r="C1804"/>
      <c r="D1804"/>
      <c r="E1804"/>
      <c r="F1804"/>
      <c r="G1804"/>
      <c r="H1804"/>
      <c r="I1804"/>
      <c r="J1804"/>
      <c r="K1804"/>
      <c r="L1804"/>
      <c r="M1804"/>
      <c r="N1804"/>
      <c r="O1804"/>
    </row>
    <row r="1805" spans="1:15" ht="18" x14ac:dyDescent="0.55000000000000004">
      <c r="A1805"/>
      <c r="B1805"/>
      <c r="C1805"/>
      <c r="D1805"/>
      <c r="E1805"/>
      <c r="F1805"/>
      <c r="G1805"/>
      <c r="H1805"/>
      <c r="I1805"/>
      <c r="J1805"/>
      <c r="K1805"/>
      <c r="L1805"/>
      <c r="M1805"/>
      <c r="N1805"/>
      <c r="O1805"/>
    </row>
    <row r="1806" spans="1:15" ht="18" x14ac:dyDescent="0.55000000000000004">
      <c r="A1806"/>
      <c r="B1806"/>
      <c r="C1806"/>
      <c r="D1806"/>
      <c r="E1806"/>
      <c r="F1806"/>
      <c r="G1806"/>
      <c r="H1806"/>
      <c r="I1806"/>
      <c r="J1806"/>
      <c r="K1806"/>
      <c r="L1806"/>
      <c r="M1806"/>
      <c r="N1806"/>
      <c r="O1806"/>
    </row>
    <row r="1807" spans="1:15" ht="18" x14ac:dyDescent="0.55000000000000004">
      <c r="A1807"/>
      <c r="B1807"/>
      <c r="C1807"/>
      <c r="D1807"/>
      <c r="E1807"/>
      <c r="F1807"/>
      <c r="G1807"/>
      <c r="H1807"/>
      <c r="I1807"/>
      <c r="J1807"/>
      <c r="K1807"/>
      <c r="L1807"/>
      <c r="M1807"/>
      <c r="N1807"/>
      <c r="O1807"/>
    </row>
    <row r="1808" spans="1:15" ht="18" x14ac:dyDescent="0.55000000000000004">
      <c r="A1808"/>
      <c r="B1808"/>
      <c r="C1808"/>
      <c r="D1808"/>
      <c r="E1808"/>
      <c r="F1808"/>
      <c r="G1808"/>
      <c r="H1808"/>
      <c r="I1808"/>
      <c r="J1808"/>
      <c r="K1808"/>
      <c r="L1808"/>
      <c r="M1808"/>
      <c r="N1808"/>
      <c r="O1808"/>
    </row>
    <row r="1809" spans="1:15" ht="18" x14ac:dyDescent="0.55000000000000004">
      <c r="A1809"/>
      <c r="B1809"/>
      <c r="C1809"/>
      <c r="D1809"/>
      <c r="E1809"/>
      <c r="F1809"/>
      <c r="G1809"/>
      <c r="H1809"/>
      <c r="I1809"/>
      <c r="J1809"/>
      <c r="K1809"/>
      <c r="L1809"/>
      <c r="M1809"/>
      <c r="N1809"/>
      <c r="O1809"/>
    </row>
    <row r="1810" spans="1:15" ht="18" x14ac:dyDescent="0.55000000000000004">
      <c r="A1810"/>
      <c r="B1810"/>
      <c r="C1810"/>
      <c r="D1810"/>
      <c r="E1810"/>
      <c r="F1810"/>
      <c r="G1810"/>
      <c r="H1810"/>
      <c r="I1810"/>
      <c r="J1810"/>
      <c r="K1810"/>
      <c r="L1810"/>
      <c r="M1810"/>
      <c r="N1810"/>
      <c r="O1810"/>
    </row>
    <row r="1811" spans="1:15" ht="18" x14ac:dyDescent="0.55000000000000004">
      <c r="A1811"/>
      <c r="B1811"/>
      <c r="C1811"/>
      <c r="D1811"/>
      <c r="E1811"/>
      <c r="F1811"/>
      <c r="G1811"/>
      <c r="H1811"/>
      <c r="I1811"/>
      <c r="J1811"/>
      <c r="K1811"/>
      <c r="L1811"/>
      <c r="M1811"/>
      <c r="N1811"/>
      <c r="O1811"/>
    </row>
    <row r="1812" spans="1:15" ht="18" x14ac:dyDescent="0.55000000000000004">
      <c r="A1812"/>
      <c r="B1812"/>
      <c r="C1812"/>
      <c r="D1812"/>
      <c r="E1812"/>
      <c r="F1812"/>
      <c r="G1812"/>
      <c r="H1812"/>
      <c r="I1812"/>
      <c r="J1812"/>
      <c r="K1812"/>
      <c r="L1812"/>
      <c r="M1812"/>
      <c r="N1812"/>
      <c r="O1812"/>
    </row>
    <row r="1813" spans="1:15" ht="18" x14ac:dyDescent="0.55000000000000004">
      <c r="A1813"/>
      <c r="B1813"/>
      <c r="C1813"/>
      <c r="D1813"/>
      <c r="E1813"/>
      <c r="F1813"/>
      <c r="G1813"/>
      <c r="H1813"/>
      <c r="I1813"/>
      <c r="J1813"/>
      <c r="K1813"/>
      <c r="L1813"/>
      <c r="M1813"/>
      <c r="N1813"/>
      <c r="O1813"/>
    </row>
    <row r="1814" spans="1:15" ht="18" x14ac:dyDescent="0.55000000000000004">
      <c r="A1814"/>
      <c r="B1814"/>
      <c r="C1814"/>
      <c r="D1814"/>
      <c r="E1814"/>
      <c r="F1814"/>
      <c r="G1814"/>
      <c r="H1814"/>
      <c r="I1814"/>
      <c r="J1814"/>
      <c r="K1814"/>
      <c r="L1814"/>
      <c r="M1814"/>
      <c r="N1814"/>
      <c r="O1814"/>
    </row>
    <row r="1815" spans="1:15" ht="18" x14ac:dyDescent="0.55000000000000004">
      <c r="A1815"/>
      <c r="B1815"/>
      <c r="C1815"/>
      <c r="D1815"/>
      <c r="E1815"/>
      <c r="F1815"/>
      <c r="G1815"/>
      <c r="H1815"/>
      <c r="I1815"/>
      <c r="J1815"/>
      <c r="K1815"/>
      <c r="L1815"/>
      <c r="M1815"/>
      <c r="N1815"/>
      <c r="O1815"/>
    </row>
    <row r="1816" spans="1:15" ht="18" x14ac:dyDescent="0.55000000000000004">
      <c r="A1816"/>
      <c r="B1816"/>
      <c r="C1816"/>
      <c r="D1816"/>
      <c r="E1816"/>
      <c r="F1816"/>
      <c r="G1816"/>
      <c r="H1816"/>
      <c r="I1816"/>
      <c r="J1816"/>
      <c r="K1816"/>
      <c r="L1816"/>
      <c r="M1816"/>
      <c r="N1816"/>
      <c r="O1816"/>
    </row>
    <row r="1817" spans="1:15" ht="18" x14ac:dyDescent="0.55000000000000004">
      <c r="A1817"/>
      <c r="B1817"/>
      <c r="C1817"/>
      <c r="D1817"/>
      <c r="E1817"/>
      <c r="F1817"/>
      <c r="G1817"/>
      <c r="H1817"/>
      <c r="I1817"/>
      <c r="J1817"/>
      <c r="K1817"/>
      <c r="L1817"/>
      <c r="M1817"/>
      <c r="N1817"/>
      <c r="O1817"/>
    </row>
    <row r="1818" spans="1:15" ht="18" x14ac:dyDescent="0.55000000000000004">
      <c r="A1818"/>
      <c r="B1818"/>
      <c r="C1818"/>
      <c r="D1818"/>
      <c r="E1818"/>
      <c r="F1818"/>
      <c r="G1818"/>
      <c r="H1818"/>
      <c r="I1818"/>
      <c r="J1818"/>
      <c r="K1818"/>
      <c r="L1818"/>
      <c r="M1818"/>
      <c r="N1818"/>
      <c r="O1818"/>
    </row>
    <row r="1819" spans="1:15" ht="18" x14ac:dyDescent="0.55000000000000004">
      <c r="A1819"/>
      <c r="B1819"/>
      <c r="C1819"/>
      <c r="D1819"/>
      <c r="E1819"/>
      <c r="F1819"/>
      <c r="G1819"/>
      <c r="H1819"/>
      <c r="I1819"/>
      <c r="J1819"/>
      <c r="K1819"/>
      <c r="L1819"/>
      <c r="M1819"/>
      <c r="N1819"/>
      <c r="O1819"/>
    </row>
    <row r="1820" spans="1:15" ht="18" x14ac:dyDescent="0.55000000000000004">
      <c r="A1820"/>
      <c r="B1820"/>
      <c r="C1820"/>
      <c r="D1820"/>
      <c r="E1820"/>
      <c r="F1820"/>
      <c r="G1820"/>
      <c r="H1820"/>
      <c r="I1820"/>
      <c r="J1820"/>
      <c r="K1820"/>
      <c r="L1820"/>
      <c r="M1820"/>
      <c r="N1820"/>
      <c r="O1820"/>
    </row>
    <row r="1821" spans="1:15" ht="18" x14ac:dyDescent="0.55000000000000004">
      <c r="A1821"/>
      <c r="B1821"/>
      <c r="C1821"/>
      <c r="D1821"/>
      <c r="E1821"/>
      <c r="F1821"/>
      <c r="G1821"/>
      <c r="H1821"/>
      <c r="I1821"/>
      <c r="J1821"/>
      <c r="K1821"/>
      <c r="L1821"/>
      <c r="M1821"/>
      <c r="N1821"/>
      <c r="O1821"/>
    </row>
    <row r="1822" spans="1:15" ht="18" x14ac:dyDescent="0.55000000000000004">
      <c r="A1822"/>
      <c r="B1822"/>
      <c r="C1822"/>
      <c r="D1822"/>
      <c r="E1822"/>
      <c r="F1822"/>
      <c r="G1822"/>
      <c r="H1822"/>
      <c r="I1822"/>
      <c r="J1822"/>
      <c r="K1822"/>
      <c r="L1822"/>
      <c r="M1822"/>
      <c r="N1822"/>
      <c r="O1822"/>
    </row>
    <row r="1823" spans="1:15" ht="18" x14ac:dyDescent="0.55000000000000004">
      <c r="A1823"/>
      <c r="B1823"/>
      <c r="C1823"/>
      <c r="D1823"/>
      <c r="E1823"/>
      <c r="F1823"/>
      <c r="G1823"/>
      <c r="H1823"/>
      <c r="I1823"/>
      <c r="J1823"/>
      <c r="K1823"/>
      <c r="L1823"/>
      <c r="M1823"/>
      <c r="N1823"/>
      <c r="O1823"/>
    </row>
    <row r="1824" spans="1:15" ht="18" x14ac:dyDescent="0.55000000000000004">
      <c r="A1824"/>
      <c r="B1824"/>
      <c r="C1824"/>
      <c r="D1824"/>
      <c r="E1824"/>
      <c r="F1824"/>
      <c r="G1824"/>
      <c r="H1824"/>
      <c r="I1824"/>
      <c r="J1824"/>
      <c r="K1824"/>
      <c r="L1824"/>
      <c r="M1824"/>
      <c r="N1824"/>
      <c r="O1824"/>
    </row>
    <row r="1825" spans="1:15" ht="18" x14ac:dyDescent="0.55000000000000004">
      <c r="A1825"/>
      <c r="B1825"/>
      <c r="C1825"/>
      <c r="D1825"/>
      <c r="E1825"/>
      <c r="F1825"/>
      <c r="G1825"/>
      <c r="H1825"/>
      <c r="I1825"/>
      <c r="J1825"/>
      <c r="K1825"/>
      <c r="L1825"/>
      <c r="M1825"/>
      <c r="N1825"/>
      <c r="O1825"/>
    </row>
    <row r="1826" spans="1:15" ht="18" x14ac:dyDescent="0.55000000000000004">
      <c r="A1826"/>
      <c r="B1826"/>
      <c r="C1826"/>
      <c r="D1826"/>
      <c r="E1826"/>
      <c r="F1826"/>
      <c r="G1826"/>
      <c r="H1826"/>
      <c r="I1826"/>
      <c r="J1826"/>
      <c r="K1826"/>
      <c r="L1826"/>
      <c r="M1826"/>
      <c r="N1826"/>
      <c r="O1826"/>
    </row>
    <row r="1827" spans="1:15" ht="18" x14ac:dyDescent="0.55000000000000004">
      <c r="A1827"/>
      <c r="B1827"/>
      <c r="C1827"/>
      <c r="D1827"/>
      <c r="E1827"/>
      <c r="F1827"/>
      <c r="G1827"/>
      <c r="H1827"/>
      <c r="I1827"/>
      <c r="J1827"/>
      <c r="K1827"/>
      <c r="L1827"/>
      <c r="M1827"/>
      <c r="N1827"/>
      <c r="O1827"/>
    </row>
    <row r="1828" spans="1:15" ht="18" x14ac:dyDescent="0.55000000000000004">
      <c r="A1828"/>
      <c r="B1828"/>
      <c r="C1828"/>
      <c r="D1828"/>
      <c r="E1828"/>
      <c r="F1828"/>
      <c r="G1828"/>
      <c r="H1828"/>
      <c r="I1828"/>
      <c r="J1828"/>
      <c r="K1828"/>
      <c r="L1828"/>
      <c r="M1828"/>
      <c r="N1828"/>
      <c r="O1828"/>
    </row>
    <row r="1829" spans="1:15" ht="18" x14ac:dyDescent="0.55000000000000004">
      <c r="A1829"/>
      <c r="B1829"/>
      <c r="C1829"/>
      <c r="D1829"/>
      <c r="E1829"/>
      <c r="F1829"/>
      <c r="G1829"/>
      <c r="H1829"/>
      <c r="I1829"/>
      <c r="J1829"/>
      <c r="K1829"/>
      <c r="L1829"/>
      <c r="M1829"/>
      <c r="N1829"/>
      <c r="O1829"/>
    </row>
    <row r="1830" spans="1:15" ht="18" x14ac:dyDescent="0.55000000000000004">
      <c r="A1830"/>
      <c r="B1830"/>
      <c r="C1830"/>
      <c r="D1830"/>
      <c r="E1830"/>
      <c r="F1830"/>
      <c r="G1830"/>
      <c r="H1830"/>
      <c r="I1830"/>
      <c r="J1830"/>
      <c r="K1830"/>
      <c r="L1830"/>
      <c r="M1830"/>
      <c r="N1830"/>
      <c r="O1830"/>
    </row>
    <row r="1831" spans="1:15" ht="18" x14ac:dyDescent="0.55000000000000004">
      <c r="A1831"/>
      <c r="B1831"/>
      <c r="C1831"/>
      <c r="D1831"/>
      <c r="E1831"/>
      <c r="F1831"/>
      <c r="G1831"/>
      <c r="H1831"/>
      <c r="I1831"/>
      <c r="J1831"/>
      <c r="K1831"/>
      <c r="L1831"/>
      <c r="M1831"/>
      <c r="N1831"/>
      <c r="O1831"/>
    </row>
    <row r="1832" spans="1:15" ht="18" x14ac:dyDescent="0.55000000000000004">
      <c r="A1832"/>
      <c r="B1832"/>
      <c r="C1832"/>
      <c r="D1832"/>
      <c r="E1832"/>
      <c r="F1832"/>
      <c r="G1832"/>
      <c r="H1832"/>
      <c r="I1832"/>
      <c r="J1832"/>
      <c r="K1832"/>
      <c r="L1832"/>
      <c r="M1832"/>
      <c r="N1832"/>
      <c r="O1832"/>
    </row>
    <row r="1833" spans="1:15" ht="18" x14ac:dyDescent="0.55000000000000004">
      <c r="A1833"/>
      <c r="B1833"/>
      <c r="C1833"/>
      <c r="D1833"/>
      <c r="E1833"/>
      <c r="F1833"/>
      <c r="G1833"/>
      <c r="H1833"/>
      <c r="I1833"/>
      <c r="J1833"/>
      <c r="K1833"/>
      <c r="L1833"/>
      <c r="M1833"/>
      <c r="N1833"/>
      <c r="O1833"/>
    </row>
    <row r="1834" spans="1:15" ht="18" x14ac:dyDescent="0.55000000000000004">
      <c r="A1834"/>
      <c r="B1834"/>
      <c r="C1834"/>
      <c r="D1834"/>
      <c r="E1834"/>
      <c r="F1834"/>
      <c r="G1834"/>
      <c r="H1834"/>
      <c r="I1834"/>
      <c r="J1834"/>
      <c r="K1834"/>
      <c r="L1834"/>
      <c r="M1834"/>
      <c r="N1834"/>
      <c r="O1834"/>
    </row>
    <row r="1835" spans="1:15" ht="18" x14ac:dyDescent="0.55000000000000004">
      <c r="A1835"/>
      <c r="B1835"/>
      <c r="C1835"/>
      <c r="D1835"/>
      <c r="E1835"/>
      <c r="F1835"/>
      <c r="G1835"/>
      <c r="H1835"/>
      <c r="I1835"/>
      <c r="J1835"/>
      <c r="K1835"/>
      <c r="L1835"/>
      <c r="M1835"/>
      <c r="N1835"/>
      <c r="O1835"/>
    </row>
    <row r="1836" spans="1:15" ht="18" x14ac:dyDescent="0.55000000000000004">
      <c r="A1836"/>
      <c r="B1836"/>
      <c r="C1836"/>
      <c r="D1836"/>
      <c r="E1836"/>
      <c r="F1836"/>
      <c r="G1836"/>
      <c r="H1836"/>
      <c r="I1836"/>
      <c r="J1836"/>
      <c r="K1836"/>
      <c r="L1836"/>
      <c r="M1836"/>
      <c r="N1836"/>
      <c r="O1836"/>
    </row>
    <row r="1837" spans="1:15" ht="18" x14ac:dyDescent="0.55000000000000004">
      <c r="A1837"/>
      <c r="B1837"/>
      <c r="C1837"/>
      <c r="D1837"/>
      <c r="E1837"/>
      <c r="F1837"/>
      <c r="G1837"/>
      <c r="H1837"/>
      <c r="I1837"/>
      <c r="J1837"/>
      <c r="K1837"/>
      <c r="L1837"/>
      <c r="M1837"/>
      <c r="N1837"/>
      <c r="O1837"/>
    </row>
    <row r="1838" spans="1:15" ht="18" x14ac:dyDescent="0.55000000000000004">
      <c r="A1838"/>
      <c r="B1838"/>
      <c r="C1838"/>
      <c r="D1838"/>
      <c r="E1838"/>
      <c r="F1838"/>
      <c r="G1838"/>
      <c r="H1838"/>
      <c r="I1838"/>
      <c r="J1838"/>
      <c r="K1838"/>
      <c r="L1838"/>
      <c r="M1838"/>
      <c r="N1838"/>
      <c r="O1838"/>
    </row>
    <row r="1839" spans="1:15" ht="18" x14ac:dyDescent="0.55000000000000004">
      <c r="A1839"/>
      <c r="B1839"/>
      <c r="C1839"/>
      <c r="D1839"/>
      <c r="E1839"/>
      <c r="F1839"/>
      <c r="G1839"/>
      <c r="H1839"/>
      <c r="I1839"/>
      <c r="J1839"/>
      <c r="K1839"/>
      <c r="L1839"/>
      <c r="M1839"/>
      <c r="N1839"/>
      <c r="O1839"/>
    </row>
    <row r="1840" spans="1:15" ht="18" x14ac:dyDescent="0.55000000000000004">
      <c r="A1840"/>
      <c r="B1840"/>
      <c r="C1840"/>
      <c r="D1840"/>
      <c r="E1840"/>
      <c r="F1840"/>
      <c r="G1840"/>
      <c r="H1840"/>
      <c r="I1840"/>
      <c r="J1840"/>
      <c r="K1840"/>
      <c r="L1840"/>
      <c r="M1840"/>
      <c r="N1840"/>
      <c r="O1840"/>
    </row>
    <row r="1841" spans="1:15" ht="18" x14ac:dyDescent="0.55000000000000004">
      <c r="A1841"/>
      <c r="B1841"/>
      <c r="C1841"/>
      <c r="D1841"/>
      <c r="E1841"/>
      <c r="F1841"/>
      <c r="G1841"/>
      <c r="H1841"/>
      <c r="I1841"/>
      <c r="J1841"/>
      <c r="K1841"/>
      <c r="L1841"/>
      <c r="M1841"/>
      <c r="N1841"/>
      <c r="O1841"/>
    </row>
    <row r="1842" spans="1:15" ht="18" x14ac:dyDescent="0.55000000000000004">
      <c r="A1842"/>
      <c r="B1842"/>
      <c r="C1842"/>
      <c r="D1842"/>
      <c r="E1842"/>
      <c r="F1842"/>
      <c r="G1842"/>
      <c r="H1842"/>
      <c r="I1842"/>
      <c r="J1842"/>
      <c r="K1842"/>
      <c r="L1842"/>
      <c r="M1842"/>
      <c r="N1842"/>
      <c r="O1842"/>
    </row>
    <row r="1843" spans="1:15" ht="18" x14ac:dyDescent="0.55000000000000004">
      <c r="A1843"/>
      <c r="B1843"/>
      <c r="C1843"/>
      <c r="D1843"/>
      <c r="E1843"/>
      <c r="F1843"/>
      <c r="G1843"/>
      <c r="H1843"/>
      <c r="I1843"/>
      <c r="J1843"/>
      <c r="K1843"/>
      <c r="L1843"/>
      <c r="M1843"/>
      <c r="N1843"/>
      <c r="O1843"/>
    </row>
    <row r="1844" spans="1:15" ht="18" x14ac:dyDescent="0.55000000000000004">
      <c r="A1844"/>
      <c r="B1844"/>
      <c r="C1844"/>
      <c r="D1844"/>
      <c r="E1844"/>
      <c r="F1844"/>
      <c r="G1844"/>
      <c r="H1844"/>
      <c r="I1844"/>
      <c r="J1844"/>
      <c r="K1844"/>
      <c r="L1844"/>
      <c r="M1844"/>
      <c r="N1844"/>
      <c r="O1844"/>
    </row>
    <row r="1845" spans="1:15" ht="18" x14ac:dyDescent="0.55000000000000004">
      <c r="A1845"/>
      <c r="B1845"/>
      <c r="C1845"/>
      <c r="D1845"/>
      <c r="E1845"/>
      <c r="F1845"/>
      <c r="G1845"/>
      <c r="H1845"/>
      <c r="I1845"/>
      <c r="J1845"/>
      <c r="K1845"/>
      <c r="L1845"/>
      <c r="M1845"/>
      <c r="N1845"/>
      <c r="O1845"/>
    </row>
    <row r="1846" spans="1:15" ht="18" x14ac:dyDescent="0.55000000000000004">
      <c r="A1846"/>
      <c r="B1846"/>
      <c r="C1846"/>
      <c r="D1846"/>
      <c r="E1846"/>
      <c r="F1846"/>
      <c r="G1846"/>
      <c r="H1846"/>
      <c r="I1846"/>
      <c r="J1846"/>
      <c r="K1846"/>
      <c r="L1846"/>
      <c r="M1846"/>
      <c r="N1846"/>
      <c r="O1846"/>
    </row>
    <row r="1847" spans="1:15" ht="18" x14ac:dyDescent="0.55000000000000004">
      <c r="A1847"/>
      <c r="B1847"/>
      <c r="C1847"/>
      <c r="D1847"/>
      <c r="E1847"/>
      <c r="F1847"/>
      <c r="G1847"/>
      <c r="H1847"/>
      <c r="I1847"/>
      <c r="J1847"/>
      <c r="K1847"/>
      <c r="L1847"/>
      <c r="M1847"/>
      <c r="N1847"/>
      <c r="O1847"/>
    </row>
    <row r="1848" spans="1:15" ht="18" x14ac:dyDescent="0.55000000000000004">
      <c r="A1848"/>
      <c r="B1848"/>
      <c r="C1848"/>
      <c r="D1848"/>
      <c r="E1848"/>
      <c r="F1848"/>
      <c r="G1848"/>
      <c r="H1848"/>
      <c r="I1848"/>
      <c r="J1848"/>
      <c r="K1848"/>
      <c r="L1848"/>
      <c r="M1848"/>
      <c r="N1848"/>
      <c r="O1848"/>
    </row>
    <row r="1849" spans="1:15" ht="18" x14ac:dyDescent="0.55000000000000004">
      <c r="A1849"/>
      <c r="B1849"/>
      <c r="C1849"/>
      <c r="D1849"/>
      <c r="E1849"/>
      <c r="F1849"/>
      <c r="G1849"/>
      <c r="H1849"/>
      <c r="I1849"/>
      <c r="J1849"/>
      <c r="K1849"/>
      <c r="L1849"/>
      <c r="M1849"/>
      <c r="N1849"/>
      <c r="O1849"/>
    </row>
    <row r="1850" spans="1:15" ht="18" x14ac:dyDescent="0.55000000000000004">
      <c r="A1850"/>
      <c r="B1850"/>
      <c r="C1850"/>
      <c r="D1850"/>
      <c r="E1850"/>
      <c r="F1850"/>
      <c r="G1850"/>
      <c r="H1850"/>
      <c r="I1850"/>
      <c r="J1850"/>
      <c r="K1850"/>
      <c r="L1850"/>
      <c r="M1850"/>
      <c r="N1850"/>
      <c r="O1850"/>
    </row>
    <row r="1851" spans="1:15" ht="18" x14ac:dyDescent="0.55000000000000004">
      <c r="A1851"/>
      <c r="B1851"/>
      <c r="C1851"/>
      <c r="D1851"/>
      <c r="E1851"/>
      <c r="F1851"/>
      <c r="G1851"/>
      <c r="H1851"/>
      <c r="I1851"/>
      <c r="J1851"/>
      <c r="K1851"/>
      <c r="L1851"/>
      <c r="M1851"/>
      <c r="N1851"/>
      <c r="O1851"/>
    </row>
    <row r="1852" spans="1:15" ht="18" x14ac:dyDescent="0.55000000000000004">
      <c r="A1852"/>
      <c r="B1852"/>
      <c r="C1852"/>
      <c r="D1852"/>
      <c r="E1852"/>
      <c r="F1852"/>
      <c r="G1852"/>
      <c r="H1852"/>
      <c r="I1852"/>
      <c r="J1852"/>
      <c r="K1852"/>
      <c r="L1852"/>
      <c r="M1852"/>
      <c r="N1852"/>
      <c r="O1852"/>
    </row>
    <row r="1853" spans="1:15" ht="18" x14ac:dyDescent="0.55000000000000004">
      <c r="A1853"/>
      <c r="B1853"/>
      <c r="C1853"/>
      <c r="D1853"/>
      <c r="E1853"/>
      <c r="F1853"/>
      <c r="G1853"/>
      <c r="H1853"/>
      <c r="I1853"/>
      <c r="J1853"/>
      <c r="K1853"/>
      <c r="L1853"/>
      <c r="M1853"/>
      <c r="N1853"/>
      <c r="O1853"/>
    </row>
    <row r="1854" spans="1:15" ht="18" x14ac:dyDescent="0.55000000000000004">
      <c r="A1854"/>
      <c r="B1854"/>
      <c r="C1854"/>
      <c r="D1854"/>
      <c r="E1854"/>
      <c r="F1854"/>
      <c r="G1854"/>
      <c r="H1854"/>
      <c r="I1854"/>
      <c r="J1854"/>
      <c r="K1854"/>
      <c r="L1854"/>
      <c r="M1854"/>
      <c r="N1854"/>
      <c r="O1854"/>
    </row>
    <row r="1855" spans="1:15" ht="18" x14ac:dyDescent="0.55000000000000004">
      <c r="A1855"/>
      <c r="B1855"/>
      <c r="C1855"/>
      <c r="D1855"/>
      <c r="E1855"/>
      <c r="F1855"/>
      <c r="G1855"/>
      <c r="H1855"/>
      <c r="I1855"/>
      <c r="J1855"/>
      <c r="K1855"/>
      <c r="L1855"/>
      <c r="M1855"/>
      <c r="N1855"/>
      <c r="O1855"/>
    </row>
    <row r="1856" spans="1:15" ht="18" x14ac:dyDescent="0.55000000000000004">
      <c r="A1856"/>
      <c r="B1856"/>
      <c r="C1856"/>
      <c r="D1856"/>
      <c r="E1856"/>
      <c r="F1856"/>
      <c r="G1856"/>
      <c r="H1856"/>
      <c r="I1856"/>
      <c r="J1856"/>
      <c r="K1856"/>
      <c r="L1856"/>
      <c r="M1856"/>
      <c r="N1856"/>
      <c r="O1856"/>
    </row>
    <row r="1857" spans="1:15" ht="18" x14ac:dyDescent="0.55000000000000004">
      <c r="A1857"/>
      <c r="B1857"/>
      <c r="C1857"/>
      <c r="D1857"/>
      <c r="E1857"/>
      <c r="F1857"/>
      <c r="G1857"/>
      <c r="H1857"/>
      <c r="I1857"/>
      <c r="J1857"/>
      <c r="K1857"/>
      <c r="L1857"/>
      <c r="M1857"/>
      <c r="N1857"/>
      <c r="O1857"/>
    </row>
    <row r="1858" spans="1:15" ht="18" x14ac:dyDescent="0.55000000000000004">
      <c r="A1858"/>
      <c r="B1858"/>
      <c r="C1858"/>
      <c r="D1858"/>
      <c r="E1858"/>
      <c r="F1858"/>
      <c r="G1858"/>
      <c r="H1858"/>
      <c r="I1858"/>
      <c r="J1858"/>
      <c r="K1858"/>
      <c r="L1858"/>
      <c r="M1858"/>
      <c r="N1858"/>
      <c r="O1858"/>
    </row>
    <row r="1859" spans="1:15" ht="18" x14ac:dyDescent="0.55000000000000004">
      <c r="A1859"/>
      <c r="B1859"/>
      <c r="C1859"/>
      <c r="D1859"/>
      <c r="E1859"/>
      <c r="F1859"/>
      <c r="G1859"/>
      <c r="H1859"/>
      <c r="I1859"/>
      <c r="J1859"/>
      <c r="K1859"/>
      <c r="L1859"/>
      <c r="M1859"/>
      <c r="N1859"/>
      <c r="O1859"/>
    </row>
    <row r="1860" spans="1:15" ht="18" x14ac:dyDescent="0.55000000000000004">
      <c r="A1860"/>
      <c r="B1860"/>
      <c r="C1860"/>
      <c r="D1860"/>
      <c r="E1860"/>
      <c r="F1860"/>
      <c r="G1860"/>
      <c r="H1860"/>
      <c r="I1860"/>
      <c r="J1860"/>
      <c r="K1860"/>
      <c r="L1860"/>
      <c r="M1860"/>
      <c r="N1860"/>
      <c r="O1860"/>
    </row>
    <row r="1861" spans="1:15" ht="18" x14ac:dyDescent="0.55000000000000004">
      <c r="A1861"/>
      <c r="B1861"/>
      <c r="C1861"/>
      <c r="D1861"/>
      <c r="E1861"/>
      <c r="F1861"/>
      <c r="G1861"/>
      <c r="H1861"/>
      <c r="I1861"/>
      <c r="J1861"/>
      <c r="K1861"/>
      <c r="L1861"/>
      <c r="M1861"/>
      <c r="N1861"/>
      <c r="O1861"/>
    </row>
    <row r="1862" spans="1:15" ht="18" x14ac:dyDescent="0.55000000000000004">
      <c r="A1862"/>
      <c r="B1862"/>
      <c r="C1862"/>
      <c r="D1862"/>
      <c r="E1862"/>
      <c r="F1862"/>
      <c r="G1862"/>
      <c r="H1862"/>
      <c r="I1862"/>
      <c r="J1862"/>
      <c r="K1862"/>
      <c r="L1862"/>
      <c r="M1862"/>
      <c r="N1862"/>
      <c r="O1862"/>
    </row>
    <row r="1863" spans="1:15" ht="18" x14ac:dyDescent="0.55000000000000004">
      <c r="A1863"/>
      <c r="B1863"/>
      <c r="C1863"/>
      <c r="D1863"/>
      <c r="E1863"/>
      <c r="F1863"/>
      <c r="G1863"/>
      <c r="H1863"/>
      <c r="I1863"/>
      <c r="J1863"/>
      <c r="K1863"/>
      <c r="L1863"/>
      <c r="M1863"/>
      <c r="N1863"/>
      <c r="O1863"/>
    </row>
    <row r="1864" spans="1:15" ht="18" x14ac:dyDescent="0.55000000000000004">
      <c r="A1864"/>
      <c r="B1864"/>
      <c r="C1864"/>
      <c r="D1864"/>
      <c r="E1864"/>
      <c r="F1864"/>
      <c r="G1864"/>
      <c r="H1864"/>
      <c r="I1864"/>
      <c r="J1864"/>
      <c r="K1864"/>
      <c r="L1864"/>
      <c r="M1864"/>
      <c r="N1864"/>
      <c r="O1864"/>
    </row>
    <row r="1865" spans="1:15" ht="18" x14ac:dyDescent="0.55000000000000004">
      <c r="A1865"/>
      <c r="B1865"/>
      <c r="C1865"/>
      <c r="D1865"/>
      <c r="E1865"/>
      <c r="F1865"/>
      <c r="G1865"/>
      <c r="H1865"/>
      <c r="I1865"/>
      <c r="J1865"/>
      <c r="K1865"/>
      <c r="L1865"/>
      <c r="M1865"/>
      <c r="N1865"/>
      <c r="O1865"/>
    </row>
    <row r="1866" spans="1:15" ht="18" x14ac:dyDescent="0.55000000000000004">
      <c r="A1866"/>
      <c r="B1866"/>
      <c r="C1866"/>
      <c r="D1866"/>
      <c r="E1866"/>
      <c r="F1866"/>
      <c r="G1866"/>
      <c r="H1866"/>
      <c r="I1866"/>
      <c r="J1866"/>
      <c r="K1866"/>
      <c r="L1866"/>
      <c r="M1866"/>
      <c r="N1866"/>
      <c r="O1866"/>
    </row>
    <row r="1867" spans="1:15" ht="18" x14ac:dyDescent="0.55000000000000004">
      <c r="A1867"/>
      <c r="B1867"/>
      <c r="C1867"/>
      <c r="D1867"/>
      <c r="E1867"/>
      <c r="F1867"/>
      <c r="G1867"/>
      <c r="H1867"/>
      <c r="I1867"/>
      <c r="J1867"/>
      <c r="K1867"/>
      <c r="L1867"/>
      <c r="M1867"/>
      <c r="N1867"/>
      <c r="O1867"/>
    </row>
    <row r="1868" spans="1:15" ht="18" x14ac:dyDescent="0.55000000000000004">
      <c r="A1868"/>
      <c r="B1868"/>
      <c r="C1868"/>
      <c r="D1868"/>
      <c r="E1868"/>
      <c r="F1868"/>
      <c r="G1868"/>
      <c r="H1868"/>
      <c r="I1868"/>
      <c r="J1868"/>
      <c r="K1868"/>
      <c r="L1868"/>
      <c r="M1868"/>
      <c r="N1868"/>
      <c r="O1868"/>
    </row>
    <row r="1869" spans="1:15" ht="18" x14ac:dyDescent="0.55000000000000004">
      <c r="A1869"/>
      <c r="B1869"/>
      <c r="C1869"/>
      <c r="D1869"/>
      <c r="E1869"/>
      <c r="F1869"/>
      <c r="G1869"/>
      <c r="H1869"/>
      <c r="I1869"/>
      <c r="J1869"/>
      <c r="K1869"/>
      <c r="L1869"/>
      <c r="M1869"/>
      <c r="N1869"/>
      <c r="O1869"/>
    </row>
    <row r="1870" spans="1:15" ht="18" x14ac:dyDescent="0.55000000000000004">
      <c r="A1870"/>
      <c r="B1870"/>
      <c r="C1870"/>
      <c r="D1870"/>
      <c r="E1870"/>
      <c r="F1870"/>
      <c r="G1870"/>
      <c r="H1870"/>
      <c r="I1870"/>
      <c r="J1870"/>
      <c r="K1870"/>
      <c r="L1870"/>
      <c r="M1870"/>
      <c r="N1870"/>
      <c r="O1870"/>
    </row>
    <row r="1871" spans="1:15" ht="18" x14ac:dyDescent="0.55000000000000004">
      <c r="A1871"/>
      <c r="B1871"/>
      <c r="C1871"/>
      <c r="D1871"/>
      <c r="E1871"/>
      <c r="F1871"/>
      <c r="G1871"/>
      <c r="H1871"/>
      <c r="I1871"/>
      <c r="J1871"/>
      <c r="K1871"/>
      <c r="L1871"/>
      <c r="M1871"/>
      <c r="N1871"/>
      <c r="O1871"/>
    </row>
    <row r="1872" spans="1:15" ht="18" x14ac:dyDescent="0.55000000000000004">
      <c r="A1872"/>
      <c r="B1872"/>
      <c r="C1872"/>
      <c r="D1872"/>
      <c r="E1872"/>
      <c r="F1872"/>
      <c r="G1872"/>
      <c r="H1872"/>
      <c r="I1872"/>
      <c r="J1872"/>
      <c r="K1872"/>
      <c r="L1872"/>
      <c r="M1872"/>
      <c r="N1872"/>
      <c r="O1872"/>
    </row>
    <row r="1873" spans="1:15" ht="18" x14ac:dyDescent="0.55000000000000004">
      <c r="A1873"/>
      <c r="B1873"/>
      <c r="C1873"/>
      <c r="D1873"/>
      <c r="E1873"/>
      <c r="F1873"/>
      <c r="G1873"/>
      <c r="H1873"/>
      <c r="I1873"/>
      <c r="J1873"/>
      <c r="K1873"/>
      <c r="L1873"/>
      <c r="M1873"/>
      <c r="N1873"/>
      <c r="O1873"/>
    </row>
    <row r="1874" spans="1:15" ht="18" x14ac:dyDescent="0.55000000000000004">
      <c r="A1874"/>
      <c r="B1874"/>
      <c r="C1874"/>
      <c r="D1874"/>
      <c r="E1874"/>
      <c r="F1874"/>
      <c r="G1874"/>
      <c r="H1874"/>
      <c r="I1874"/>
      <c r="J1874"/>
      <c r="K1874"/>
      <c r="L1874"/>
      <c r="M1874"/>
      <c r="N1874"/>
      <c r="O1874"/>
    </row>
    <row r="1875" spans="1:15" ht="18" x14ac:dyDescent="0.55000000000000004">
      <c r="A1875"/>
      <c r="B1875"/>
      <c r="C1875"/>
      <c r="D1875"/>
      <c r="E1875"/>
      <c r="F1875"/>
      <c r="G1875"/>
      <c r="H1875"/>
      <c r="I1875"/>
      <c r="J1875"/>
      <c r="K1875"/>
      <c r="L1875"/>
      <c r="M1875"/>
      <c r="N1875"/>
      <c r="O1875"/>
    </row>
    <row r="1876" spans="1:15" ht="18" x14ac:dyDescent="0.55000000000000004">
      <c r="A1876"/>
      <c r="B1876"/>
      <c r="C1876"/>
      <c r="D1876"/>
      <c r="E1876"/>
      <c r="F1876"/>
      <c r="G1876"/>
      <c r="H1876"/>
      <c r="I1876"/>
      <c r="J1876"/>
      <c r="K1876"/>
      <c r="L1876"/>
      <c r="M1876"/>
      <c r="N1876"/>
      <c r="O1876"/>
    </row>
    <row r="1877" spans="1:15" ht="18" x14ac:dyDescent="0.55000000000000004">
      <c r="A1877"/>
      <c r="B1877"/>
      <c r="C1877"/>
      <c r="D1877"/>
      <c r="E1877"/>
      <c r="F1877"/>
      <c r="G1877"/>
      <c r="H1877"/>
      <c r="I1877"/>
      <c r="J1877"/>
      <c r="K1877"/>
      <c r="L1877"/>
      <c r="M1877"/>
      <c r="N1877"/>
      <c r="O1877"/>
    </row>
    <row r="1878" spans="1:15" ht="18" x14ac:dyDescent="0.55000000000000004">
      <c r="A1878"/>
      <c r="B1878"/>
      <c r="C1878"/>
      <c r="D1878"/>
      <c r="E1878"/>
      <c r="F1878"/>
      <c r="G1878"/>
      <c r="H1878"/>
      <c r="I1878"/>
      <c r="J1878"/>
      <c r="K1878"/>
      <c r="L1878"/>
      <c r="M1878"/>
      <c r="N1878"/>
      <c r="O1878"/>
    </row>
    <row r="1879" spans="1:15" ht="18" x14ac:dyDescent="0.55000000000000004">
      <c r="A1879"/>
      <c r="B1879"/>
      <c r="C1879"/>
      <c r="D1879"/>
      <c r="E1879"/>
      <c r="F1879"/>
      <c r="G1879"/>
      <c r="H1879"/>
      <c r="I1879"/>
      <c r="J1879"/>
      <c r="K1879"/>
      <c r="L1879"/>
      <c r="M1879"/>
      <c r="N1879"/>
      <c r="O1879"/>
    </row>
    <row r="1880" spans="1:15" ht="18" x14ac:dyDescent="0.55000000000000004">
      <c r="A1880"/>
      <c r="B1880"/>
      <c r="C1880"/>
      <c r="D1880"/>
      <c r="E1880"/>
      <c r="F1880"/>
      <c r="G1880"/>
      <c r="H1880"/>
      <c r="I1880"/>
      <c r="J1880"/>
      <c r="K1880"/>
      <c r="L1880"/>
      <c r="M1880"/>
      <c r="N1880"/>
      <c r="O1880"/>
    </row>
    <row r="1881" spans="1:15" ht="18" x14ac:dyDescent="0.55000000000000004">
      <c r="A1881"/>
      <c r="B1881"/>
      <c r="C1881"/>
      <c r="D1881"/>
      <c r="E1881"/>
      <c r="F1881"/>
      <c r="G1881"/>
      <c r="H1881"/>
      <c r="I1881"/>
      <c r="J1881"/>
      <c r="K1881"/>
      <c r="L1881"/>
      <c r="M1881"/>
      <c r="N1881"/>
      <c r="O1881"/>
    </row>
    <row r="1882" spans="1:15" ht="18" x14ac:dyDescent="0.55000000000000004">
      <c r="A1882"/>
      <c r="B1882"/>
      <c r="C1882"/>
      <c r="D1882"/>
      <c r="E1882"/>
      <c r="F1882"/>
      <c r="G1882"/>
      <c r="H1882"/>
      <c r="I1882"/>
      <c r="J1882"/>
      <c r="K1882"/>
      <c r="L1882"/>
      <c r="M1882"/>
      <c r="N1882"/>
      <c r="O1882"/>
    </row>
    <row r="1883" spans="1:15" ht="18" x14ac:dyDescent="0.55000000000000004">
      <c r="A1883"/>
      <c r="B1883"/>
      <c r="C1883"/>
      <c r="D1883"/>
      <c r="E1883"/>
      <c r="F1883"/>
      <c r="G1883"/>
      <c r="H1883"/>
      <c r="I1883"/>
      <c r="J1883"/>
      <c r="K1883"/>
      <c r="L1883"/>
      <c r="M1883"/>
      <c r="N1883"/>
      <c r="O1883"/>
    </row>
    <row r="1884" spans="1:15" ht="18" x14ac:dyDescent="0.55000000000000004">
      <c r="A1884"/>
      <c r="B1884"/>
      <c r="C1884"/>
      <c r="D1884"/>
      <c r="E1884"/>
      <c r="F1884"/>
      <c r="G1884"/>
      <c r="H1884"/>
      <c r="I1884"/>
      <c r="J1884"/>
      <c r="K1884"/>
      <c r="L1884"/>
      <c r="M1884"/>
      <c r="N1884"/>
      <c r="O1884"/>
    </row>
    <row r="1885" spans="1:15" ht="18" x14ac:dyDescent="0.55000000000000004">
      <c r="A1885"/>
      <c r="B1885"/>
      <c r="C1885"/>
      <c r="D1885"/>
      <c r="E1885"/>
      <c r="F1885"/>
      <c r="G1885"/>
      <c r="H1885"/>
      <c r="I1885"/>
      <c r="J1885"/>
      <c r="K1885"/>
      <c r="L1885"/>
      <c r="M1885"/>
      <c r="N1885"/>
      <c r="O1885"/>
    </row>
    <row r="1886" spans="1:15" ht="18" x14ac:dyDescent="0.55000000000000004">
      <c r="A1886"/>
      <c r="B1886"/>
      <c r="C1886"/>
      <c r="D1886"/>
      <c r="E1886"/>
      <c r="F1886"/>
      <c r="G1886"/>
      <c r="H1886"/>
      <c r="I1886"/>
      <c r="J1886"/>
      <c r="K1886"/>
      <c r="L1886"/>
      <c r="M1886"/>
      <c r="N1886"/>
      <c r="O1886"/>
    </row>
    <row r="1887" spans="1:15" ht="18" x14ac:dyDescent="0.55000000000000004">
      <c r="A1887"/>
      <c r="B1887"/>
      <c r="C1887"/>
      <c r="D1887"/>
      <c r="E1887"/>
      <c r="F1887"/>
      <c r="G1887"/>
      <c r="H1887"/>
      <c r="I1887"/>
      <c r="J1887"/>
      <c r="K1887"/>
      <c r="L1887"/>
      <c r="M1887"/>
      <c r="N1887"/>
      <c r="O1887"/>
    </row>
    <row r="1888" spans="1:15" ht="18" x14ac:dyDescent="0.55000000000000004">
      <c r="A1888"/>
      <c r="B1888"/>
      <c r="C1888"/>
      <c r="D1888"/>
      <c r="E1888"/>
      <c r="F1888"/>
      <c r="G1888"/>
      <c r="H1888"/>
      <c r="I1888"/>
      <c r="J1888"/>
      <c r="K1888"/>
      <c r="L1888"/>
      <c r="M1888"/>
      <c r="N1888"/>
      <c r="O1888"/>
    </row>
    <row r="1889" spans="1:15" ht="18" x14ac:dyDescent="0.55000000000000004">
      <c r="A1889"/>
      <c r="B1889"/>
      <c r="C1889"/>
      <c r="D1889"/>
      <c r="E1889"/>
      <c r="F1889"/>
      <c r="G1889"/>
      <c r="H1889"/>
      <c r="I1889"/>
      <c r="J1889"/>
      <c r="K1889"/>
      <c r="L1889"/>
      <c r="M1889"/>
      <c r="N1889"/>
      <c r="O1889"/>
    </row>
    <row r="1890" spans="1:15" ht="18" x14ac:dyDescent="0.55000000000000004">
      <c r="A1890"/>
      <c r="B1890"/>
      <c r="C1890"/>
      <c r="D1890"/>
      <c r="E1890"/>
      <c r="F1890"/>
      <c r="G1890"/>
      <c r="H1890"/>
      <c r="I1890"/>
      <c r="J1890"/>
      <c r="K1890"/>
      <c r="L1890"/>
      <c r="M1890"/>
      <c r="N1890"/>
      <c r="O1890"/>
    </row>
    <row r="1891" spans="1:15" ht="18" x14ac:dyDescent="0.55000000000000004">
      <c r="A1891"/>
      <c r="B1891"/>
      <c r="C1891"/>
      <c r="D1891"/>
      <c r="E1891"/>
      <c r="F1891"/>
      <c r="G1891"/>
      <c r="H1891"/>
      <c r="I1891"/>
      <c r="J1891"/>
      <c r="K1891"/>
      <c r="L1891"/>
      <c r="M1891"/>
      <c r="N1891"/>
      <c r="O1891"/>
    </row>
    <row r="1892" spans="1:15" ht="18" x14ac:dyDescent="0.55000000000000004">
      <c r="A1892"/>
      <c r="B1892"/>
      <c r="C1892"/>
      <c r="D1892"/>
      <c r="E1892"/>
      <c r="F1892"/>
      <c r="G1892"/>
      <c r="H1892"/>
      <c r="I1892"/>
      <c r="J1892"/>
      <c r="K1892"/>
      <c r="L1892"/>
      <c r="M1892"/>
      <c r="N1892"/>
      <c r="O1892"/>
    </row>
    <row r="1893" spans="1:15" ht="18" x14ac:dyDescent="0.55000000000000004">
      <c r="A1893"/>
      <c r="B1893"/>
      <c r="C1893"/>
      <c r="D1893"/>
      <c r="E1893"/>
      <c r="F1893"/>
      <c r="G1893"/>
      <c r="H1893"/>
      <c r="I1893"/>
      <c r="J1893"/>
      <c r="K1893"/>
      <c r="L1893"/>
      <c r="M1893"/>
      <c r="N1893"/>
      <c r="O1893"/>
    </row>
    <row r="1894" spans="1:15" ht="18" x14ac:dyDescent="0.55000000000000004">
      <c r="A1894"/>
      <c r="B1894"/>
      <c r="C1894"/>
      <c r="D1894"/>
      <c r="E1894"/>
      <c r="F1894"/>
      <c r="G1894"/>
      <c r="H1894"/>
      <c r="I1894"/>
      <c r="J1894"/>
      <c r="K1894"/>
      <c r="L1894"/>
      <c r="M1894"/>
      <c r="N1894"/>
      <c r="O1894"/>
    </row>
    <row r="1895" spans="1:15" ht="18" x14ac:dyDescent="0.55000000000000004">
      <c r="A1895"/>
      <c r="B1895"/>
      <c r="C1895"/>
      <c r="D1895"/>
      <c r="E1895"/>
      <c r="F1895"/>
      <c r="G1895"/>
      <c r="H1895"/>
      <c r="I1895"/>
      <c r="J1895"/>
      <c r="K1895"/>
      <c r="L1895"/>
      <c r="M1895"/>
      <c r="N1895"/>
      <c r="O1895"/>
    </row>
    <row r="1896" spans="1:15" ht="18" x14ac:dyDescent="0.55000000000000004">
      <c r="A1896"/>
      <c r="B1896"/>
      <c r="C1896"/>
      <c r="D1896"/>
      <c r="E1896"/>
      <c r="F1896"/>
      <c r="G1896"/>
      <c r="H1896"/>
      <c r="I1896"/>
      <c r="J1896"/>
      <c r="K1896"/>
      <c r="L1896"/>
      <c r="M1896"/>
      <c r="N1896"/>
      <c r="O1896"/>
    </row>
    <row r="1897" spans="1:15" ht="18" x14ac:dyDescent="0.55000000000000004">
      <c r="A1897"/>
      <c r="B1897"/>
      <c r="C1897"/>
      <c r="D1897"/>
      <c r="E1897"/>
      <c r="F1897"/>
      <c r="G1897"/>
      <c r="H1897"/>
      <c r="I1897"/>
      <c r="J1897"/>
      <c r="K1897"/>
      <c r="L1897"/>
      <c r="M1897"/>
      <c r="N1897"/>
      <c r="O1897"/>
    </row>
    <row r="1898" spans="1:15" ht="18" x14ac:dyDescent="0.55000000000000004">
      <c r="A1898"/>
      <c r="B1898"/>
      <c r="C1898"/>
      <c r="D1898"/>
      <c r="E1898"/>
      <c r="F1898"/>
      <c r="G1898"/>
      <c r="H1898"/>
      <c r="I1898"/>
      <c r="J1898"/>
      <c r="K1898"/>
      <c r="L1898"/>
      <c r="M1898"/>
      <c r="N1898"/>
      <c r="O1898"/>
    </row>
    <row r="1899" spans="1:15" ht="18" x14ac:dyDescent="0.55000000000000004">
      <c r="A1899"/>
      <c r="B1899"/>
      <c r="C1899"/>
      <c r="D1899"/>
      <c r="E1899"/>
      <c r="F1899"/>
      <c r="G1899"/>
      <c r="H1899"/>
      <c r="I1899"/>
      <c r="J1899"/>
      <c r="K1899"/>
      <c r="L1899"/>
      <c r="M1899"/>
      <c r="N1899"/>
      <c r="O1899"/>
    </row>
    <row r="1900" spans="1:15" ht="18" x14ac:dyDescent="0.55000000000000004">
      <c r="A1900"/>
      <c r="B1900"/>
      <c r="C1900"/>
      <c r="D1900"/>
      <c r="E1900"/>
      <c r="F1900"/>
      <c r="G1900"/>
      <c r="H1900"/>
      <c r="I1900"/>
      <c r="J1900"/>
      <c r="K1900"/>
      <c r="L1900"/>
      <c r="M1900"/>
      <c r="N1900"/>
      <c r="O1900"/>
    </row>
    <row r="1901" spans="1:15" ht="18" x14ac:dyDescent="0.55000000000000004">
      <c r="A1901"/>
      <c r="B1901"/>
      <c r="C1901"/>
      <c r="D1901"/>
      <c r="E1901"/>
      <c r="F1901"/>
      <c r="G1901"/>
      <c r="H1901"/>
      <c r="I1901"/>
      <c r="J1901"/>
      <c r="K1901"/>
      <c r="L1901"/>
      <c r="M1901"/>
      <c r="N1901"/>
      <c r="O1901"/>
    </row>
    <row r="1902" spans="1:15" ht="18" x14ac:dyDescent="0.55000000000000004">
      <c r="A1902"/>
      <c r="B1902"/>
      <c r="C1902"/>
      <c r="D1902"/>
      <c r="E1902"/>
      <c r="F1902"/>
      <c r="G1902"/>
      <c r="H1902"/>
      <c r="I1902"/>
      <c r="J1902"/>
      <c r="K1902"/>
      <c r="L1902"/>
      <c r="M1902"/>
      <c r="N1902"/>
      <c r="O1902"/>
    </row>
    <row r="1903" spans="1:15" ht="18" x14ac:dyDescent="0.55000000000000004">
      <c r="A1903"/>
      <c r="B1903"/>
      <c r="C1903"/>
      <c r="D1903"/>
      <c r="E1903"/>
      <c r="F1903"/>
      <c r="G1903"/>
      <c r="H1903"/>
      <c r="I1903"/>
      <c r="J1903"/>
      <c r="K1903"/>
      <c r="L1903"/>
      <c r="M1903"/>
      <c r="N1903"/>
      <c r="O1903"/>
    </row>
    <row r="1904" spans="1:15" ht="18" x14ac:dyDescent="0.55000000000000004">
      <c r="A1904"/>
      <c r="B1904"/>
      <c r="C1904"/>
      <c r="D1904"/>
      <c r="E1904"/>
      <c r="F1904"/>
      <c r="G1904"/>
      <c r="H1904"/>
      <c r="I1904"/>
      <c r="J1904"/>
      <c r="K1904"/>
      <c r="L1904"/>
      <c r="M1904"/>
      <c r="N1904"/>
      <c r="O1904"/>
    </row>
    <row r="1905" spans="1:15" ht="18" x14ac:dyDescent="0.55000000000000004">
      <c r="A1905"/>
      <c r="B1905"/>
      <c r="C1905"/>
      <c r="D1905"/>
      <c r="E1905"/>
      <c r="F1905"/>
      <c r="G1905"/>
      <c r="H1905"/>
      <c r="I1905"/>
      <c r="J1905"/>
      <c r="K1905"/>
      <c r="L1905"/>
      <c r="M1905"/>
      <c r="N1905"/>
      <c r="O1905"/>
    </row>
    <row r="1906" spans="1:15" ht="18" x14ac:dyDescent="0.55000000000000004">
      <c r="A1906"/>
      <c r="B1906"/>
      <c r="C1906"/>
      <c r="D1906"/>
      <c r="E1906"/>
      <c r="F1906"/>
      <c r="G1906"/>
      <c r="H1906"/>
      <c r="I1906"/>
      <c r="J1906"/>
      <c r="K1906"/>
      <c r="L1906"/>
      <c r="M1906"/>
      <c r="N1906"/>
      <c r="O1906"/>
    </row>
    <row r="1907" spans="1:15" ht="18" x14ac:dyDescent="0.55000000000000004">
      <c r="A1907"/>
      <c r="B1907"/>
      <c r="C1907"/>
      <c r="D1907"/>
      <c r="E1907"/>
      <c r="F1907"/>
      <c r="G1907"/>
      <c r="H1907"/>
      <c r="I1907"/>
      <c r="J1907"/>
      <c r="K1907"/>
      <c r="L1907"/>
      <c r="M1907"/>
      <c r="N1907"/>
      <c r="O1907"/>
    </row>
    <row r="1908" spans="1:15" ht="18" x14ac:dyDescent="0.55000000000000004">
      <c r="A1908"/>
      <c r="B1908"/>
      <c r="C1908"/>
      <c r="D1908"/>
      <c r="E1908"/>
      <c r="F1908"/>
      <c r="G1908"/>
      <c r="H1908"/>
      <c r="I1908"/>
      <c r="J1908"/>
      <c r="K1908"/>
      <c r="L1908"/>
      <c r="M1908"/>
      <c r="N1908"/>
      <c r="O1908"/>
    </row>
    <row r="1909" spans="1:15" ht="18" x14ac:dyDescent="0.55000000000000004">
      <c r="A1909"/>
      <c r="B1909"/>
      <c r="C1909"/>
      <c r="D1909"/>
      <c r="E1909"/>
      <c r="F1909"/>
      <c r="G1909"/>
      <c r="H1909"/>
      <c r="I1909"/>
      <c r="J1909"/>
      <c r="K1909"/>
      <c r="L1909"/>
      <c r="M1909"/>
      <c r="N1909"/>
      <c r="O1909"/>
    </row>
    <row r="1910" spans="1:15" ht="18" x14ac:dyDescent="0.55000000000000004">
      <c r="A1910"/>
      <c r="B1910"/>
      <c r="C1910"/>
      <c r="D1910"/>
      <c r="E1910"/>
      <c r="F1910"/>
      <c r="G1910"/>
      <c r="H1910"/>
      <c r="I1910"/>
      <c r="J1910"/>
      <c r="K1910"/>
      <c r="L1910"/>
      <c r="M1910"/>
      <c r="N1910"/>
      <c r="O1910"/>
    </row>
    <row r="1911" spans="1:15" ht="18" x14ac:dyDescent="0.55000000000000004">
      <c r="A1911"/>
      <c r="B1911"/>
      <c r="C1911"/>
      <c r="D1911"/>
      <c r="E1911"/>
      <c r="F1911"/>
      <c r="G1911"/>
      <c r="H1911"/>
      <c r="I1911"/>
      <c r="J1911"/>
      <c r="K1911"/>
      <c r="L1911"/>
      <c r="M1911"/>
      <c r="N1911"/>
      <c r="O1911"/>
    </row>
    <row r="1912" spans="1:15" ht="18" x14ac:dyDescent="0.55000000000000004">
      <c r="A1912"/>
      <c r="B1912"/>
      <c r="C1912"/>
      <c r="D1912"/>
      <c r="E1912"/>
      <c r="F1912"/>
      <c r="G1912"/>
      <c r="H1912"/>
      <c r="I1912"/>
      <c r="J1912"/>
      <c r="K1912"/>
      <c r="L1912"/>
      <c r="M1912"/>
      <c r="N1912"/>
      <c r="O1912"/>
    </row>
    <row r="1913" spans="1:15" ht="18" x14ac:dyDescent="0.55000000000000004">
      <c r="A1913"/>
      <c r="B1913"/>
      <c r="C1913"/>
      <c r="D1913"/>
      <c r="E1913"/>
      <c r="F1913"/>
      <c r="G1913"/>
      <c r="H1913"/>
      <c r="I1913"/>
      <c r="J1913"/>
      <c r="K1913"/>
      <c r="L1913"/>
      <c r="M1913"/>
      <c r="N1913"/>
      <c r="O1913"/>
    </row>
    <row r="1914" spans="1:15" ht="18" x14ac:dyDescent="0.55000000000000004">
      <c r="A1914"/>
      <c r="B1914"/>
      <c r="C1914"/>
      <c r="D1914"/>
      <c r="E1914"/>
      <c r="F1914"/>
      <c r="G1914"/>
      <c r="H1914"/>
      <c r="I1914"/>
      <c r="J1914"/>
      <c r="K1914"/>
      <c r="L1914"/>
      <c r="M1914"/>
      <c r="N1914"/>
      <c r="O1914"/>
    </row>
    <row r="1915" spans="1:15" ht="18" x14ac:dyDescent="0.55000000000000004">
      <c r="A1915"/>
      <c r="B1915"/>
      <c r="C1915"/>
      <c r="D1915"/>
      <c r="E1915"/>
      <c r="F1915"/>
      <c r="G1915"/>
      <c r="H1915"/>
      <c r="I1915"/>
      <c r="J1915"/>
      <c r="K1915"/>
      <c r="L1915"/>
      <c r="M1915"/>
      <c r="N1915"/>
      <c r="O1915"/>
    </row>
    <row r="1916" spans="1:15" ht="18" x14ac:dyDescent="0.55000000000000004">
      <c r="A1916"/>
      <c r="B1916"/>
      <c r="C1916"/>
      <c r="D1916"/>
      <c r="E1916"/>
      <c r="F1916"/>
      <c r="G1916"/>
      <c r="H1916"/>
      <c r="I1916"/>
      <c r="J1916"/>
      <c r="K1916"/>
      <c r="L1916"/>
      <c r="M1916"/>
      <c r="N1916"/>
      <c r="O1916"/>
    </row>
    <row r="1917" spans="1:15" ht="18" x14ac:dyDescent="0.55000000000000004">
      <c r="A1917"/>
      <c r="B1917"/>
      <c r="C1917"/>
      <c r="D1917"/>
      <c r="E1917"/>
      <c r="F1917"/>
      <c r="G1917"/>
      <c r="H1917"/>
      <c r="I1917"/>
      <c r="J1917"/>
      <c r="K1917"/>
      <c r="L1917"/>
      <c r="M1917"/>
      <c r="N1917"/>
      <c r="O1917"/>
    </row>
    <row r="1918" spans="1:15" ht="18" x14ac:dyDescent="0.55000000000000004">
      <c r="A1918"/>
      <c r="B1918"/>
      <c r="C1918"/>
      <c r="D1918"/>
      <c r="E1918"/>
      <c r="F1918"/>
      <c r="G1918"/>
      <c r="H1918"/>
      <c r="I1918"/>
      <c r="J1918"/>
      <c r="K1918"/>
      <c r="L1918"/>
      <c r="M1918"/>
      <c r="N1918"/>
      <c r="O1918"/>
    </row>
    <row r="1919" spans="1:15" ht="18" x14ac:dyDescent="0.55000000000000004">
      <c r="A1919"/>
      <c r="B1919"/>
      <c r="C1919"/>
      <c r="D1919"/>
      <c r="E1919"/>
      <c r="F1919"/>
      <c r="G1919"/>
      <c r="H1919"/>
      <c r="I1919"/>
      <c r="J1919"/>
      <c r="K1919"/>
      <c r="L1919"/>
      <c r="M1919"/>
      <c r="N1919"/>
      <c r="O1919"/>
    </row>
    <row r="1920" spans="1:15" ht="18" x14ac:dyDescent="0.55000000000000004">
      <c r="A1920"/>
      <c r="B1920"/>
      <c r="C1920"/>
      <c r="D1920"/>
      <c r="E1920"/>
      <c r="F1920"/>
      <c r="G1920"/>
      <c r="H1920"/>
      <c r="I1920"/>
      <c r="J1920"/>
      <c r="K1920"/>
      <c r="L1920"/>
      <c r="M1920"/>
      <c r="N1920"/>
      <c r="O1920"/>
    </row>
    <row r="1921" spans="1:15" ht="18" x14ac:dyDescent="0.55000000000000004">
      <c r="A1921"/>
      <c r="B1921"/>
      <c r="C1921"/>
      <c r="D1921"/>
      <c r="E1921"/>
      <c r="F1921"/>
      <c r="G1921"/>
      <c r="H1921"/>
      <c r="I1921"/>
      <c r="J1921"/>
      <c r="K1921"/>
      <c r="L1921"/>
      <c r="M1921"/>
      <c r="N1921"/>
      <c r="O1921"/>
    </row>
    <row r="1922" spans="1:15" ht="18" x14ac:dyDescent="0.55000000000000004">
      <c r="A1922"/>
      <c r="B1922"/>
      <c r="C1922"/>
      <c r="D1922"/>
      <c r="E1922"/>
      <c r="F1922"/>
      <c r="G1922"/>
      <c r="H1922"/>
      <c r="I1922"/>
      <c r="J1922"/>
      <c r="K1922"/>
      <c r="L1922"/>
      <c r="M1922"/>
      <c r="N1922"/>
      <c r="O1922"/>
    </row>
    <row r="1923" spans="1:15" ht="18" x14ac:dyDescent="0.55000000000000004">
      <c r="A1923"/>
      <c r="B1923"/>
      <c r="C1923"/>
      <c r="D1923"/>
      <c r="E1923"/>
      <c r="F1923"/>
      <c r="G1923"/>
      <c r="H1923"/>
      <c r="I1923"/>
      <c r="J1923"/>
      <c r="K1923"/>
      <c r="L1923"/>
      <c r="M1923"/>
      <c r="N1923"/>
      <c r="O1923"/>
    </row>
    <row r="1924" spans="1:15" ht="18" x14ac:dyDescent="0.55000000000000004">
      <c r="A1924"/>
      <c r="B1924"/>
      <c r="C1924"/>
      <c r="D1924"/>
      <c r="E1924"/>
      <c r="F1924"/>
      <c r="G1924"/>
      <c r="H1924"/>
      <c r="I1924"/>
      <c r="J1924"/>
      <c r="K1924"/>
      <c r="L1924"/>
      <c r="M1924"/>
      <c r="N1924"/>
      <c r="O1924"/>
    </row>
    <row r="1925" spans="1:15" ht="18" x14ac:dyDescent="0.55000000000000004">
      <c r="A1925"/>
      <c r="B1925"/>
      <c r="C1925"/>
      <c r="D1925"/>
      <c r="E1925"/>
      <c r="F1925"/>
      <c r="G1925"/>
      <c r="H1925"/>
      <c r="I1925"/>
      <c r="J1925"/>
      <c r="K1925"/>
      <c r="L1925"/>
      <c r="M1925"/>
      <c r="N1925"/>
      <c r="O1925"/>
    </row>
    <row r="1926" spans="1:15" ht="18" x14ac:dyDescent="0.55000000000000004">
      <c r="A1926"/>
      <c r="B1926"/>
      <c r="C1926"/>
      <c r="D1926"/>
      <c r="E1926"/>
      <c r="F1926"/>
      <c r="G1926"/>
      <c r="H1926"/>
      <c r="I1926"/>
      <c r="J1926"/>
      <c r="K1926"/>
      <c r="L1926"/>
      <c r="M1926"/>
      <c r="N1926"/>
      <c r="O1926"/>
    </row>
    <row r="1927" spans="1:15" ht="18" x14ac:dyDescent="0.55000000000000004">
      <c r="A1927"/>
      <c r="B1927"/>
      <c r="C1927"/>
      <c r="D1927"/>
      <c r="E1927"/>
      <c r="F1927"/>
      <c r="G1927"/>
      <c r="H1927"/>
      <c r="I1927"/>
      <c r="J1927"/>
      <c r="K1927"/>
      <c r="L1927"/>
      <c r="M1927"/>
      <c r="N1927"/>
      <c r="O1927"/>
    </row>
    <row r="1928" spans="1:15" ht="18" x14ac:dyDescent="0.55000000000000004">
      <c r="A1928"/>
      <c r="B1928"/>
      <c r="C1928"/>
      <c r="D1928"/>
      <c r="E1928"/>
      <c r="F1928"/>
      <c r="G1928"/>
      <c r="H1928"/>
      <c r="I1928"/>
      <c r="J1928"/>
      <c r="K1928"/>
      <c r="L1928"/>
      <c r="M1928"/>
      <c r="N1928"/>
      <c r="O1928"/>
    </row>
    <row r="1929" spans="1:15" ht="18" x14ac:dyDescent="0.55000000000000004">
      <c r="A1929"/>
      <c r="B1929"/>
      <c r="C1929"/>
      <c r="D1929"/>
      <c r="E1929"/>
      <c r="F1929"/>
      <c r="G1929"/>
      <c r="H1929"/>
      <c r="I1929"/>
      <c r="J1929"/>
      <c r="K1929"/>
      <c r="L1929"/>
      <c r="M1929"/>
      <c r="N1929"/>
      <c r="O1929"/>
    </row>
    <row r="1930" spans="1:15" ht="18" x14ac:dyDescent="0.55000000000000004">
      <c r="A1930"/>
      <c r="B1930"/>
      <c r="C1930"/>
      <c r="D1930"/>
      <c r="E1930"/>
      <c r="F1930"/>
      <c r="G1930"/>
      <c r="H1930"/>
      <c r="I1930"/>
      <c r="J1930"/>
      <c r="K1930"/>
      <c r="L1930"/>
      <c r="M1930"/>
      <c r="N1930"/>
      <c r="O1930"/>
    </row>
    <row r="1931" spans="1:15" ht="18" x14ac:dyDescent="0.55000000000000004">
      <c r="A1931"/>
      <c r="B1931"/>
      <c r="C1931"/>
      <c r="D1931"/>
      <c r="E1931"/>
      <c r="F1931"/>
      <c r="G1931"/>
      <c r="H1931"/>
      <c r="I1931"/>
      <c r="J1931"/>
      <c r="K1931"/>
      <c r="L1931"/>
      <c r="M1931"/>
      <c r="N1931"/>
      <c r="O1931"/>
    </row>
    <row r="1932" spans="1:15" ht="18" x14ac:dyDescent="0.55000000000000004">
      <c r="A1932"/>
      <c r="B1932"/>
      <c r="C1932"/>
      <c r="D1932"/>
      <c r="E1932"/>
      <c r="F1932"/>
      <c r="G1932"/>
      <c r="H1932"/>
      <c r="I1932"/>
      <c r="J1932"/>
      <c r="K1932"/>
      <c r="L1932"/>
      <c r="M1932"/>
      <c r="N1932"/>
      <c r="O1932"/>
    </row>
    <row r="1933" spans="1:15" ht="18" x14ac:dyDescent="0.55000000000000004">
      <c r="A1933"/>
      <c r="B1933"/>
      <c r="C1933"/>
      <c r="D1933"/>
      <c r="E1933"/>
      <c r="F1933"/>
      <c r="G1933"/>
      <c r="H1933"/>
      <c r="I1933"/>
      <c r="J1933"/>
      <c r="K1933"/>
      <c r="L1933"/>
      <c r="M1933"/>
      <c r="N1933"/>
      <c r="O1933"/>
    </row>
    <row r="1934" spans="1:15" ht="18" x14ac:dyDescent="0.55000000000000004">
      <c r="A1934"/>
      <c r="B1934"/>
      <c r="C1934"/>
      <c r="D1934"/>
      <c r="E1934"/>
      <c r="F1934"/>
      <c r="G1934"/>
      <c r="H1934"/>
      <c r="I1934"/>
      <c r="J1934"/>
      <c r="K1934"/>
      <c r="L1934"/>
      <c r="M1934"/>
      <c r="N1934"/>
      <c r="O1934"/>
    </row>
    <row r="1935" spans="1:15" ht="18" x14ac:dyDescent="0.55000000000000004">
      <c r="A1935"/>
      <c r="B1935"/>
      <c r="C1935"/>
      <c r="D1935"/>
      <c r="E1935"/>
      <c r="F1935"/>
      <c r="G1935"/>
      <c r="H1935"/>
      <c r="I1935"/>
      <c r="J1935"/>
      <c r="K1935"/>
      <c r="L1935"/>
      <c r="M1935"/>
      <c r="N1935"/>
      <c r="O1935"/>
    </row>
    <row r="1936" spans="1:15" ht="18" x14ac:dyDescent="0.55000000000000004">
      <c r="A1936"/>
      <c r="B1936"/>
      <c r="C1936"/>
      <c r="D1936"/>
      <c r="E1936"/>
      <c r="F1936"/>
      <c r="G1936"/>
      <c r="H1936"/>
      <c r="I1936"/>
      <c r="J1936"/>
      <c r="K1936"/>
      <c r="L1936"/>
      <c r="M1936"/>
      <c r="N1936"/>
      <c r="O1936"/>
    </row>
    <row r="1937" spans="1:15" ht="18" x14ac:dyDescent="0.55000000000000004">
      <c r="A1937"/>
      <c r="B1937"/>
      <c r="C1937"/>
      <c r="D1937"/>
      <c r="E1937"/>
      <c r="F1937"/>
      <c r="G1937"/>
      <c r="H1937"/>
      <c r="I1937"/>
      <c r="J1937"/>
      <c r="K1937"/>
      <c r="L1937"/>
      <c r="M1937"/>
      <c r="N1937"/>
      <c r="O1937"/>
    </row>
    <row r="1938" spans="1:15" ht="18" x14ac:dyDescent="0.55000000000000004">
      <c r="A1938"/>
      <c r="B1938"/>
      <c r="C1938"/>
      <c r="D1938"/>
      <c r="E1938"/>
      <c r="F1938"/>
      <c r="G1938"/>
      <c r="H1938"/>
      <c r="I1938"/>
      <c r="J1938"/>
      <c r="K1938"/>
      <c r="L1938"/>
      <c r="M1938"/>
      <c r="N1938"/>
      <c r="O1938"/>
    </row>
    <row r="1939" spans="1:15" ht="18" x14ac:dyDescent="0.55000000000000004">
      <c r="A1939"/>
      <c r="B1939"/>
      <c r="C1939"/>
      <c r="D1939"/>
      <c r="E1939"/>
      <c r="F1939"/>
      <c r="G1939"/>
      <c r="H1939"/>
      <c r="I1939"/>
      <c r="J1939"/>
      <c r="K1939"/>
      <c r="L1939"/>
      <c r="M1939"/>
      <c r="N1939"/>
      <c r="O1939"/>
    </row>
    <row r="1940" spans="1:15" ht="18" x14ac:dyDescent="0.55000000000000004">
      <c r="A1940"/>
      <c r="B1940"/>
      <c r="C1940"/>
      <c r="D1940"/>
      <c r="E1940"/>
      <c r="F1940"/>
      <c r="G1940"/>
      <c r="H1940"/>
      <c r="I1940"/>
      <c r="J1940"/>
      <c r="K1940"/>
      <c r="L1940"/>
      <c r="M1940"/>
      <c r="N1940"/>
      <c r="O1940"/>
    </row>
    <row r="1941" spans="1:15" ht="18" x14ac:dyDescent="0.55000000000000004">
      <c r="A1941"/>
      <c r="B1941"/>
      <c r="C1941"/>
      <c r="D1941"/>
      <c r="E1941"/>
      <c r="F1941"/>
      <c r="G1941"/>
      <c r="H1941"/>
      <c r="I1941"/>
      <c r="J1941"/>
      <c r="K1941"/>
      <c r="L1941"/>
      <c r="M1941"/>
      <c r="N1941"/>
      <c r="O1941"/>
    </row>
    <row r="1942" spans="1:15" ht="18" x14ac:dyDescent="0.55000000000000004">
      <c r="A1942"/>
      <c r="B1942"/>
      <c r="C1942"/>
      <c r="D1942"/>
      <c r="E1942"/>
      <c r="F1942"/>
      <c r="G1942"/>
      <c r="H1942"/>
      <c r="I1942"/>
      <c r="J1942"/>
      <c r="K1942"/>
      <c r="L1942"/>
      <c r="M1942"/>
      <c r="N1942"/>
      <c r="O1942"/>
    </row>
    <row r="1943" spans="1:15" ht="18" x14ac:dyDescent="0.55000000000000004">
      <c r="A1943"/>
      <c r="B1943"/>
      <c r="C1943"/>
      <c r="D1943"/>
      <c r="E1943"/>
      <c r="F1943"/>
      <c r="G1943"/>
      <c r="H1943"/>
      <c r="I1943"/>
      <c r="J1943"/>
      <c r="K1943"/>
      <c r="L1943"/>
      <c r="M1943"/>
      <c r="N1943"/>
      <c r="O1943"/>
    </row>
    <row r="1944" spans="1:15" ht="18" x14ac:dyDescent="0.55000000000000004">
      <c r="A1944"/>
      <c r="B1944"/>
      <c r="C1944"/>
      <c r="D1944"/>
      <c r="E1944"/>
      <c r="F1944"/>
      <c r="G1944"/>
      <c r="H1944"/>
      <c r="I1944"/>
      <c r="J1944"/>
      <c r="K1944"/>
      <c r="L1944"/>
      <c r="M1944"/>
      <c r="N1944"/>
      <c r="O1944"/>
    </row>
    <row r="1945" spans="1:15" ht="18" x14ac:dyDescent="0.55000000000000004">
      <c r="A1945"/>
      <c r="B1945"/>
      <c r="C1945"/>
      <c r="D1945"/>
      <c r="E1945"/>
      <c r="F1945"/>
      <c r="G1945"/>
      <c r="H1945"/>
      <c r="I1945"/>
      <c r="J1945"/>
      <c r="K1945"/>
      <c r="L1945"/>
      <c r="M1945"/>
      <c r="N1945"/>
      <c r="O1945"/>
    </row>
    <row r="1946" spans="1:15" ht="18" x14ac:dyDescent="0.55000000000000004">
      <c r="A1946"/>
      <c r="B1946"/>
      <c r="C1946"/>
      <c r="D1946"/>
      <c r="E1946"/>
      <c r="F1946"/>
      <c r="G1946"/>
      <c r="H1946"/>
      <c r="I1946"/>
      <c r="J1946"/>
      <c r="K1946"/>
      <c r="L1946"/>
      <c r="M1946"/>
      <c r="N1946"/>
      <c r="O1946"/>
    </row>
    <row r="1947" spans="1:15" ht="18" x14ac:dyDescent="0.55000000000000004">
      <c r="A1947"/>
      <c r="B1947"/>
      <c r="C1947"/>
      <c r="D1947"/>
      <c r="E1947"/>
      <c r="F1947"/>
      <c r="G1947"/>
      <c r="H1947"/>
      <c r="I1947"/>
      <c r="J1947"/>
      <c r="K1947"/>
      <c r="L1947"/>
      <c r="M1947"/>
      <c r="N1947"/>
      <c r="O1947"/>
    </row>
    <row r="1948" spans="1:15" ht="18" x14ac:dyDescent="0.55000000000000004">
      <c r="A1948"/>
      <c r="B1948"/>
      <c r="C1948"/>
      <c r="D1948"/>
      <c r="E1948"/>
      <c r="F1948"/>
      <c r="G1948"/>
      <c r="H1948"/>
      <c r="I1948"/>
      <c r="J1948"/>
      <c r="K1948"/>
      <c r="L1948"/>
      <c r="M1948"/>
      <c r="N1948"/>
      <c r="O1948"/>
    </row>
    <row r="1949" spans="1:15" ht="18" x14ac:dyDescent="0.55000000000000004">
      <c r="A1949"/>
      <c r="B1949"/>
      <c r="C1949"/>
      <c r="D1949"/>
      <c r="E1949"/>
      <c r="F1949"/>
      <c r="G1949"/>
      <c r="H1949"/>
      <c r="I1949"/>
      <c r="J1949"/>
      <c r="K1949"/>
      <c r="L1949"/>
      <c r="M1949"/>
      <c r="N1949"/>
      <c r="O1949"/>
    </row>
    <row r="1950" spans="1:15" ht="18" x14ac:dyDescent="0.55000000000000004">
      <c r="A1950"/>
      <c r="B1950"/>
      <c r="C1950"/>
      <c r="D1950"/>
      <c r="E1950"/>
      <c r="F1950"/>
      <c r="G1950"/>
      <c r="H1950"/>
      <c r="I1950"/>
      <c r="J1950"/>
      <c r="K1950"/>
      <c r="L1950"/>
      <c r="M1950"/>
      <c r="N1950"/>
      <c r="O1950"/>
    </row>
    <row r="1951" spans="1:15" ht="18" x14ac:dyDescent="0.55000000000000004">
      <c r="A1951"/>
      <c r="B1951"/>
      <c r="C1951"/>
      <c r="D1951"/>
      <c r="E1951"/>
      <c r="F1951"/>
      <c r="G1951"/>
      <c r="H1951"/>
      <c r="I1951"/>
      <c r="J1951"/>
      <c r="K1951"/>
      <c r="L1951"/>
      <c r="M1951"/>
      <c r="N1951"/>
      <c r="O1951"/>
    </row>
    <row r="1952" spans="1:15" ht="18" x14ac:dyDescent="0.55000000000000004">
      <c r="A1952"/>
      <c r="B1952"/>
      <c r="C1952"/>
      <c r="D1952"/>
      <c r="E1952"/>
      <c r="F1952"/>
      <c r="G1952"/>
      <c r="H1952"/>
      <c r="I1952"/>
      <c r="J1952"/>
      <c r="K1952"/>
      <c r="L1952"/>
      <c r="M1952"/>
      <c r="N1952"/>
      <c r="O1952"/>
    </row>
    <row r="1953" spans="1:15" ht="18" x14ac:dyDescent="0.55000000000000004">
      <c r="A1953"/>
      <c r="B1953"/>
      <c r="C1953"/>
      <c r="D1953"/>
      <c r="E1953"/>
      <c r="F1953"/>
      <c r="G1953"/>
      <c r="H1953"/>
      <c r="I1953"/>
      <c r="J1953"/>
      <c r="K1953"/>
      <c r="L1953"/>
      <c r="M1953"/>
      <c r="N1953"/>
      <c r="O1953"/>
    </row>
    <row r="1954" spans="1:15" ht="18" x14ac:dyDescent="0.55000000000000004">
      <c r="A1954"/>
      <c r="B1954"/>
      <c r="C1954"/>
      <c r="D1954"/>
      <c r="E1954"/>
      <c r="F1954"/>
      <c r="G1954"/>
      <c r="H1954"/>
      <c r="I1954"/>
      <c r="J1954"/>
      <c r="K1954"/>
      <c r="L1954"/>
      <c r="M1954"/>
      <c r="N1954"/>
      <c r="O1954"/>
    </row>
    <row r="1955" spans="1:15" ht="18" x14ac:dyDescent="0.55000000000000004">
      <c r="A1955"/>
      <c r="B1955"/>
      <c r="C1955"/>
      <c r="D1955"/>
      <c r="E1955"/>
      <c r="F1955"/>
      <c r="G1955"/>
      <c r="H1955"/>
      <c r="I1955"/>
      <c r="J1955"/>
      <c r="K1955"/>
      <c r="L1955"/>
      <c r="M1955"/>
      <c r="N1955"/>
      <c r="O1955"/>
    </row>
    <row r="1956" spans="1:15" ht="18" x14ac:dyDescent="0.55000000000000004">
      <c r="A1956"/>
      <c r="B1956"/>
      <c r="C1956"/>
      <c r="D1956"/>
      <c r="E1956"/>
      <c r="F1956"/>
      <c r="G1956"/>
      <c r="H1956"/>
      <c r="I1956"/>
      <c r="J1956"/>
      <c r="K1956"/>
      <c r="L1956"/>
      <c r="M1956"/>
      <c r="N1956"/>
      <c r="O1956"/>
    </row>
    <row r="1957" spans="1:15" ht="18" x14ac:dyDescent="0.55000000000000004">
      <c r="A1957"/>
      <c r="B1957"/>
      <c r="C1957"/>
      <c r="D1957"/>
      <c r="E1957"/>
      <c r="F1957"/>
      <c r="G1957"/>
      <c r="H1957"/>
      <c r="I1957"/>
      <c r="J1957"/>
      <c r="K1957"/>
      <c r="L1957"/>
      <c r="M1957"/>
      <c r="N1957"/>
      <c r="O1957"/>
    </row>
    <row r="1958" spans="1:15" ht="18" x14ac:dyDescent="0.55000000000000004">
      <c r="A1958"/>
      <c r="B1958"/>
      <c r="C1958"/>
      <c r="D1958"/>
      <c r="E1958"/>
      <c r="F1958"/>
      <c r="G1958"/>
      <c r="H1958"/>
      <c r="I1958"/>
      <c r="J1958"/>
      <c r="K1958"/>
      <c r="L1958"/>
      <c r="M1958"/>
      <c r="N1958"/>
      <c r="O1958"/>
    </row>
    <row r="1959" spans="1:15" ht="18" x14ac:dyDescent="0.55000000000000004">
      <c r="A1959"/>
      <c r="B1959"/>
      <c r="C1959"/>
      <c r="D1959"/>
      <c r="E1959"/>
      <c r="F1959"/>
      <c r="G1959"/>
      <c r="H1959"/>
      <c r="I1959"/>
      <c r="J1959"/>
      <c r="K1959"/>
      <c r="L1959"/>
      <c r="M1959"/>
      <c r="N1959"/>
      <c r="O1959"/>
    </row>
    <row r="1960" spans="1:15" ht="18" x14ac:dyDescent="0.55000000000000004">
      <c r="A1960"/>
      <c r="B1960"/>
      <c r="C1960"/>
      <c r="D1960"/>
      <c r="E1960"/>
      <c r="F1960"/>
      <c r="G1960"/>
      <c r="H1960"/>
      <c r="I1960"/>
      <c r="J1960"/>
      <c r="K1960"/>
      <c r="L1960"/>
      <c r="M1960"/>
      <c r="N1960"/>
      <c r="O1960"/>
    </row>
    <row r="1961" spans="1:15" ht="18" x14ac:dyDescent="0.55000000000000004">
      <c r="A1961"/>
      <c r="B1961"/>
      <c r="C1961"/>
      <c r="D1961"/>
      <c r="E1961"/>
      <c r="F1961"/>
      <c r="G1961"/>
      <c r="H1961"/>
      <c r="I1961"/>
      <c r="J1961"/>
      <c r="K1961"/>
      <c r="L1961"/>
      <c r="M1961"/>
      <c r="N1961"/>
      <c r="O1961"/>
    </row>
    <row r="1962" spans="1:15" ht="18" x14ac:dyDescent="0.55000000000000004">
      <c r="A1962"/>
      <c r="B1962"/>
      <c r="C1962"/>
      <c r="D1962"/>
      <c r="E1962"/>
      <c r="F1962"/>
      <c r="G1962"/>
      <c r="H1962"/>
      <c r="I1962"/>
      <c r="J1962"/>
      <c r="K1962"/>
      <c r="L1962"/>
      <c r="M1962"/>
      <c r="N1962"/>
      <c r="O1962"/>
    </row>
    <row r="1963" spans="1:15" ht="18" x14ac:dyDescent="0.55000000000000004">
      <c r="A1963"/>
      <c r="B1963"/>
      <c r="C1963"/>
      <c r="D1963"/>
      <c r="E1963"/>
      <c r="F1963"/>
      <c r="G1963"/>
      <c r="H1963"/>
      <c r="I1963"/>
      <c r="J1963"/>
      <c r="K1963"/>
      <c r="L1963"/>
      <c r="M1963"/>
      <c r="N1963"/>
      <c r="O1963"/>
    </row>
    <row r="1964" spans="1:15" ht="18" x14ac:dyDescent="0.55000000000000004">
      <c r="A1964"/>
      <c r="B1964"/>
      <c r="C1964"/>
      <c r="D1964"/>
      <c r="E1964"/>
      <c r="F1964"/>
      <c r="G1964"/>
      <c r="H1964"/>
      <c r="I1964"/>
      <c r="J1964"/>
      <c r="K1964"/>
      <c r="L1964"/>
      <c r="M1964"/>
      <c r="N1964"/>
      <c r="O1964"/>
    </row>
    <row r="1965" spans="1:15" ht="18" x14ac:dyDescent="0.55000000000000004">
      <c r="A1965"/>
      <c r="B1965"/>
      <c r="C1965"/>
      <c r="D1965"/>
      <c r="E1965"/>
      <c r="F1965"/>
      <c r="G1965"/>
      <c r="H1965"/>
      <c r="I1965"/>
      <c r="J1965"/>
      <c r="K1965"/>
      <c r="L1965"/>
      <c r="M1965"/>
      <c r="N1965"/>
      <c r="O1965"/>
    </row>
    <row r="1966" spans="1:15" ht="18" x14ac:dyDescent="0.55000000000000004">
      <c r="A1966"/>
      <c r="B1966"/>
      <c r="C1966"/>
      <c r="D1966"/>
      <c r="E1966"/>
      <c r="F1966"/>
      <c r="G1966"/>
      <c r="H1966"/>
      <c r="I1966"/>
      <c r="J1966"/>
      <c r="K1966"/>
      <c r="L1966"/>
      <c r="M1966"/>
      <c r="N1966"/>
      <c r="O1966"/>
    </row>
    <row r="1967" spans="1:15" ht="18" x14ac:dyDescent="0.55000000000000004">
      <c r="A1967"/>
      <c r="B1967"/>
      <c r="C1967"/>
      <c r="D1967"/>
      <c r="E1967"/>
      <c r="F1967"/>
      <c r="G1967"/>
      <c r="H1967"/>
      <c r="I1967"/>
      <c r="J1967"/>
      <c r="K1967"/>
      <c r="L1967"/>
      <c r="M1967"/>
      <c r="N1967"/>
      <c r="O1967"/>
    </row>
    <row r="1968" spans="1:15" ht="18" x14ac:dyDescent="0.55000000000000004">
      <c r="A1968"/>
      <c r="B1968"/>
      <c r="C1968"/>
      <c r="D1968"/>
      <c r="E1968"/>
      <c r="F1968"/>
      <c r="G1968"/>
      <c r="H1968"/>
      <c r="I1968"/>
      <c r="J1968"/>
      <c r="K1968"/>
      <c r="L1968"/>
      <c r="M1968"/>
      <c r="N1968"/>
      <c r="O1968"/>
    </row>
    <row r="1969" spans="1:15" ht="18" x14ac:dyDescent="0.55000000000000004">
      <c r="A1969"/>
      <c r="B1969"/>
      <c r="C1969"/>
      <c r="D1969"/>
      <c r="E1969"/>
      <c r="F1969"/>
      <c r="G1969"/>
      <c r="H1969"/>
      <c r="I1969"/>
      <c r="J1969"/>
      <c r="K1969"/>
      <c r="L1969"/>
      <c r="M1969"/>
      <c r="N1969"/>
      <c r="O1969"/>
    </row>
    <row r="1970" spans="1:15" ht="18" x14ac:dyDescent="0.55000000000000004">
      <c r="A1970"/>
      <c r="B1970"/>
      <c r="C1970"/>
      <c r="D1970"/>
      <c r="E1970"/>
      <c r="F1970"/>
      <c r="G1970"/>
      <c r="H1970"/>
      <c r="I1970"/>
      <c r="J1970"/>
      <c r="K1970"/>
      <c r="L1970"/>
      <c r="M1970"/>
      <c r="N1970"/>
      <c r="O1970"/>
    </row>
    <row r="1971" spans="1:15" ht="18" x14ac:dyDescent="0.55000000000000004">
      <c r="A1971"/>
      <c r="B1971"/>
      <c r="C1971"/>
      <c r="D1971"/>
      <c r="E1971"/>
      <c r="F1971"/>
      <c r="G1971"/>
      <c r="H1971"/>
      <c r="I1971"/>
      <c r="J1971"/>
      <c r="K1971"/>
      <c r="L1971"/>
      <c r="M1971"/>
      <c r="N1971"/>
      <c r="O1971"/>
    </row>
    <row r="1972" spans="1:15" ht="18" x14ac:dyDescent="0.55000000000000004">
      <c r="A1972"/>
      <c r="B1972"/>
      <c r="C1972"/>
      <c r="D1972"/>
      <c r="E1972"/>
      <c r="F1972"/>
      <c r="G1972"/>
      <c r="H1972"/>
      <c r="I1972"/>
      <c r="J1972"/>
      <c r="K1972"/>
      <c r="L1972"/>
      <c r="M1972"/>
      <c r="N1972"/>
      <c r="O1972"/>
    </row>
    <row r="1973" spans="1:15" ht="18" x14ac:dyDescent="0.55000000000000004">
      <c r="A1973"/>
      <c r="B1973"/>
      <c r="C1973"/>
      <c r="D1973"/>
      <c r="E1973"/>
      <c r="F1973"/>
      <c r="G1973"/>
      <c r="H1973"/>
      <c r="I1973"/>
      <c r="J1973"/>
      <c r="K1973"/>
      <c r="L1973"/>
      <c r="M1973"/>
      <c r="N1973"/>
      <c r="O1973"/>
    </row>
    <row r="1974" spans="1:15" ht="18" x14ac:dyDescent="0.55000000000000004">
      <c r="A1974"/>
      <c r="B1974"/>
      <c r="C1974"/>
      <c r="D1974"/>
      <c r="E1974"/>
      <c r="F1974"/>
      <c r="G1974"/>
      <c r="H1974"/>
      <c r="I1974"/>
      <c r="J1974"/>
      <c r="K1974"/>
      <c r="L1974"/>
      <c r="M1974"/>
      <c r="N1974"/>
      <c r="O1974"/>
    </row>
    <row r="1975" spans="1:15" ht="18" x14ac:dyDescent="0.55000000000000004">
      <c r="A1975"/>
      <c r="B1975"/>
      <c r="C1975"/>
      <c r="D1975"/>
      <c r="E1975"/>
      <c r="F1975"/>
      <c r="G1975"/>
      <c r="H1975"/>
      <c r="I1975"/>
      <c r="J1975"/>
      <c r="K1975"/>
      <c r="L1975"/>
      <c r="M1975"/>
      <c r="N1975"/>
      <c r="O1975"/>
    </row>
    <row r="1976" spans="1:15" ht="18" x14ac:dyDescent="0.55000000000000004">
      <c r="A1976"/>
      <c r="B1976"/>
      <c r="C1976"/>
      <c r="D1976"/>
      <c r="E1976"/>
      <c r="F1976"/>
      <c r="G1976"/>
      <c r="H1976"/>
      <c r="I1976"/>
      <c r="J1976"/>
      <c r="K1976"/>
      <c r="L1976"/>
      <c r="M1976"/>
      <c r="N1976"/>
      <c r="O1976"/>
    </row>
    <row r="1977" spans="1:15" ht="18" x14ac:dyDescent="0.55000000000000004">
      <c r="A1977"/>
      <c r="B1977"/>
      <c r="C1977"/>
      <c r="D1977"/>
      <c r="E1977"/>
      <c r="F1977"/>
      <c r="G1977"/>
      <c r="H1977"/>
      <c r="I1977"/>
      <c r="J1977"/>
      <c r="K1977"/>
      <c r="L1977"/>
      <c r="M1977"/>
      <c r="N1977"/>
      <c r="O1977"/>
    </row>
    <row r="1978" spans="1:15" ht="18" x14ac:dyDescent="0.55000000000000004">
      <c r="A1978"/>
      <c r="B1978"/>
      <c r="C1978"/>
      <c r="D1978"/>
      <c r="E1978"/>
      <c r="F1978"/>
      <c r="G1978"/>
      <c r="H1978"/>
      <c r="I1978"/>
      <c r="J1978"/>
      <c r="K1978"/>
      <c r="L1978"/>
      <c r="M1978"/>
      <c r="N1978"/>
      <c r="O1978"/>
    </row>
    <row r="1979" spans="1:15" ht="18" x14ac:dyDescent="0.55000000000000004">
      <c r="A1979"/>
      <c r="B1979"/>
      <c r="C1979"/>
      <c r="D1979"/>
      <c r="E1979"/>
      <c r="F1979"/>
      <c r="G1979"/>
      <c r="H1979"/>
      <c r="I1979"/>
      <c r="J1979"/>
      <c r="K1979"/>
      <c r="L1979"/>
      <c r="M1979"/>
      <c r="N1979"/>
      <c r="O1979"/>
    </row>
    <row r="1980" spans="1:15" ht="18" x14ac:dyDescent="0.55000000000000004">
      <c r="A1980"/>
      <c r="B1980"/>
      <c r="C1980"/>
      <c r="D1980"/>
      <c r="E1980"/>
      <c r="F1980"/>
      <c r="G1980"/>
      <c r="H1980"/>
      <c r="I1980"/>
      <c r="J1980"/>
      <c r="K1980"/>
      <c r="L1980"/>
      <c r="M1980"/>
      <c r="N1980"/>
      <c r="O1980"/>
    </row>
    <row r="1981" spans="1:15" ht="18" x14ac:dyDescent="0.55000000000000004">
      <c r="A1981"/>
      <c r="B1981"/>
      <c r="C1981"/>
      <c r="D1981"/>
      <c r="E1981"/>
      <c r="F1981"/>
      <c r="G1981"/>
      <c r="H1981"/>
      <c r="I1981"/>
      <c r="J1981"/>
      <c r="K1981"/>
      <c r="L1981"/>
      <c r="M1981"/>
      <c r="N1981"/>
      <c r="O1981"/>
    </row>
    <row r="1982" spans="1:15" ht="18" x14ac:dyDescent="0.55000000000000004">
      <c r="A1982"/>
      <c r="B1982"/>
      <c r="C1982"/>
      <c r="D1982"/>
      <c r="E1982"/>
      <c r="F1982"/>
      <c r="G1982"/>
      <c r="H1982"/>
      <c r="I1982"/>
      <c r="J1982"/>
      <c r="K1982"/>
      <c r="L1982"/>
      <c r="M1982"/>
      <c r="N1982"/>
      <c r="O1982"/>
    </row>
    <row r="1983" spans="1:15" ht="18" x14ac:dyDescent="0.55000000000000004">
      <c r="A1983"/>
      <c r="B1983"/>
      <c r="C1983"/>
      <c r="D1983"/>
      <c r="E1983"/>
      <c r="F1983"/>
      <c r="G1983"/>
      <c r="H1983"/>
      <c r="I1983"/>
      <c r="J1983"/>
      <c r="K1983"/>
      <c r="L1983"/>
      <c r="M1983"/>
      <c r="N1983"/>
      <c r="O1983"/>
    </row>
    <row r="1984" spans="1:15" ht="18" x14ac:dyDescent="0.55000000000000004">
      <c r="A1984"/>
      <c r="B1984"/>
      <c r="C1984"/>
      <c r="D1984"/>
      <c r="E1984"/>
      <c r="F1984"/>
      <c r="G1984"/>
      <c r="H1984"/>
      <c r="I1984"/>
      <c r="J1984"/>
      <c r="K1984"/>
      <c r="L1984"/>
      <c r="M1984"/>
      <c r="N1984"/>
      <c r="O1984"/>
    </row>
    <row r="1985" spans="1:15" ht="18" x14ac:dyDescent="0.55000000000000004">
      <c r="A1985"/>
      <c r="B1985"/>
      <c r="C1985"/>
      <c r="D1985"/>
      <c r="E1985"/>
      <c r="F1985"/>
      <c r="G1985"/>
      <c r="H1985"/>
      <c r="I1985"/>
      <c r="J1985"/>
      <c r="K1985"/>
      <c r="L1985"/>
      <c r="M1985"/>
      <c r="N1985"/>
      <c r="O1985"/>
    </row>
    <row r="1986" spans="1:15" ht="18" x14ac:dyDescent="0.55000000000000004">
      <c r="A1986"/>
      <c r="B1986"/>
      <c r="C1986"/>
      <c r="D1986"/>
      <c r="E1986"/>
      <c r="F1986"/>
      <c r="G1986"/>
      <c r="H1986"/>
      <c r="I1986"/>
      <c r="J1986"/>
      <c r="K1986"/>
      <c r="L1986"/>
      <c r="M1986"/>
      <c r="N1986"/>
      <c r="O1986"/>
    </row>
    <row r="1987" spans="1:15" ht="18" x14ac:dyDescent="0.55000000000000004">
      <c r="A1987"/>
      <c r="B1987"/>
      <c r="C1987"/>
      <c r="D1987"/>
      <c r="E1987"/>
      <c r="F1987"/>
      <c r="G1987"/>
      <c r="H1987"/>
      <c r="I1987"/>
      <c r="J1987"/>
      <c r="K1987"/>
      <c r="L1987"/>
      <c r="M1987"/>
      <c r="N1987"/>
      <c r="O1987"/>
    </row>
    <row r="1988" spans="1:15" ht="18" x14ac:dyDescent="0.55000000000000004">
      <c r="A1988"/>
      <c r="B1988"/>
      <c r="C1988"/>
      <c r="D1988"/>
      <c r="E1988"/>
      <c r="F1988"/>
      <c r="G1988"/>
      <c r="H1988"/>
      <c r="I1988"/>
      <c r="J1988"/>
      <c r="K1988"/>
      <c r="L1988"/>
      <c r="M1988"/>
      <c r="N1988"/>
      <c r="O1988"/>
    </row>
    <row r="1989" spans="1:15" ht="18" x14ac:dyDescent="0.55000000000000004">
      <c r="A1989"/>
      <c r="B1989"/>
      <c r="C1989"/>
      <c r="D1989"/>
      <c r="E1989"/>
      <c r="F1989"/>
      <c r="G1989"/>
      <c r="H1989"/>
      <c r="I1989"/>
      <c r="J1989"/>
      <c r="K1989"/>
      <c r="L1989"/>
      <c r="M1989"/>
      <c r="N1989"/>
      <c r="O1989"/>
    </row>
    <row r="1990" spans="1:15" ht="18" x14ac:dyDescent="0.55000000000000004">
      <c r="A1990"/>
      <c r="B1990"/>
      <c r="C1990"/>
      <c r="D1990"/>
      <c r="E1990"/>
      <c r="F1990"/>
      <c r="G1990"/>
      <c r="H1990"/>
      <c r="I1990"/>
      <c r="J1990"/>
      <c r="K1990"/>
      <c r="L1990"/>
      <c r="M1990"/>
      <c r="N1990"/>
      <c r="O1990"/>
    </row>
    <row r="1991" spans="1:15" ht="18" x14ac:dyDescent="0.55000000000000004">
      <c r="A1991"/>
      <c r="B1991"/>
      <c r="C1991"/>
      <c r="D1991"/>
      <c r="E1991"/>
      <c r="F1991"/>
      <c r="G1991"/>
      <c r="H1991"/>
      <c r="I1991"/>
      <c r="J1991"/>
      <c r="K1991"/>
      <c r="L1991"/>
      <c r="M1991"/>
      <c r="N1991"/>
      <c r="O1991"/>
    </row>
    <row r="1992" spans="1:15" ht="18" x14ac:dyDescent="0.55000000000000004">
      <c r="A1992"/>
      <c r="B1992"/>
      <c r="C1992"/>
      <c r="D1992"/>
      <c r="E1992"/>
      <c r="F1992"/>
      <c r="G1992"/>
      <c r="H1992"/>
      <c r="I1992"/>
      <c r="J1992"/>
      <c r="K1992"/>
      <c r="L1992"/>
      <c r="M1992"/>
      <c r="N1992"/>
      <c r="O1992"/>
    </row>
    <row r="1993" spans="1:15" ht="18" x14ac:dyDescent="0.55000000000000004">
      <c r="A1993"/>
      <c r="B1993"/>
      <c r="C1993"/>
      <c r="D1993"/>
      <c r="E1993"/>
      <c r="F1993"/>
      <c r="G1993"/>
      <c r="H1993"/>
      <c r="I1993"/>
      <c r="J1993"/>
      <c r="K1993"/>
      <c r="L1993"/>
      <c r="M1993"/>
      <c r="N1993"/>
      <c r="O1993"/>
    </row>
    <row r="1994" spans="1:15" ht="18" x14ac:dyDescent="0.55000000000000004">
      <c r="A1994"/>
      <c r="B1994"/>
      <c r="C1994"/>
      <c r="D1994"/>
      <c r="E1994"/>
      <c r="F1994"/>
      <c r="G1994"/>
      <c r="H1994"/>
      <c r="I1994"/>
      <c r="J1994"/>
      <c r="K1994"/>
      <c r="L1994"/>
      <c r="M1994"/>
      <c r="N1994"/>
      <c r="O1994"/>
    </row>
    <row r="1995" spans="1:15" ht="18" x14ac:dyDescent="0.55000000000000004">
      <c r="A1995"/>
      <c r="B1995"/>
      <c r="C1995"/>
      <c r="D1995"/>
      <c r="E1995"/>
      <c r="F1995"/>
      <c r="G1995"/>
      <c r="H1995"/>
      <c r="I1995"/>
      <c r="J1995"/>
      <c r="K1995"/>
      <c r="L1995"/>
      <c r="M1995"/>
      <c r="N1995"/>
      <c r="O1995"/>
    </row>
    <row r="1996" spans="1:15" ht="18" x14ac:dyDescent="0.55000000000000004">
      <c r="A1996"/>
      <c r="B1996"/>
      <c r="C1996"/>
      <c r="D1996"/>
      <c r="E1996"/>
      <c r="F1996"/>
      <c r="G1996"/>
      <c r="H1996"/>
      <c r="I1996"/>
      <c r="J1996"/>
      <c r="K1996"/>
      <c r="L1996"/>
      <c r="M1996"/>
      <c r="N1996"/>
      <c r="O1996"/>
    </row>
    <row r="1997" spans="1:15" ht="18" x14ac:dyDescent="0.55000000000000004">
      <c r="A1997"/>
      <c r="B1997"/>
      <c r="C1997"/>
      <c r="D1997"/>
      <c r="E1997"/>
      <c r="F1997"/>
      <c r="G1997"/>
      <c r="H1997"/>
      <c r="I1997"/>
      <c r="J1997"/>
      <c r="K1997"/>
      <c r="L1997"/>
      <c r="M1997"/>
      <c r="N1997"/>
      <c r="O1997"/>
    </row>
    <row r="1998" spans="1:15" ht="18" x14ac:dyDescent="0.55000000000000004">
      <c r="A1998"/>
      <c r="B1998"/>
      <c r="C1998"/>
      <c r="D1998"/>
      <c r="E1998"/>
      <c r="F1998"/>
      <c r="G1998"/>
      <c r="H1998"/>
      <c r="I1998"/>
      <c r="J1998"/>
      <c r="K1998"/>
      <c r="L1998"/>
      <c r="M1998"/>
      <c r="N1998"/>
      <c r="O1998"/>
    </row>
    <row r="1999" spans="1:15" ht="18" x14ac:dyDescent="0.55000000000000004">
      <c r="A1999"/>
      <c r="B1999"/>
      <c r="C1999"/>
      <c r="D1999"/>
      <c r="E1999"/>
      <c r="F1999"/>
      <c r="G1999"/>
      <c r="H1999"/>
      <c r="I1999"/>
      <c r="J1999"/>
      <c r="K1999"/>
      <c r="L1999"/>
      <c r="M1999"/>
      <c r="N1999"/>
      <c r="O1999"/>
    </row>
    <row r="2000" spans="1:15" ht="18" x14ac:dyDescent="0.55000000000000004">
      <c r="A2000"/>
      <c r="B2000"/>
      <c r="C2000"/>
      <c r="D2000"/>
      <c r="E2000"/>
      <c r="F2000"/>
      <c r="G2000"/>
      <c r="H2000"/>
      <c r="I2000"/>
      <c r="J2000"/>
      <c r="K2000"/>
      <c r="L2000"/>
      <c r="M2000"/>
      <c r="N2000"/>
      <c r="O2000"/>
    </row>
    <row r="2001" spans="1:15" ht="18" x14ac:dyDescent="0.55000000000000004">
      <c r="A2001"/>
      <c r="B2001"/>
      <c r="C2001"/>
      <c r="D2001"/>
      <c r="E2001"/>
      <c r="F2001"/>
      <c r="G2001"/>
      <c r="H2001"/>
      <c r="I2001"/>
      <c r="J2001"/>
      <c r="K2001"/>
      <c r="L2001"/>
      <c r="M2001"/>
      <c r="N2001"/>
      <c r="O2001"/>
    </row>
    <row r="2002" spans="1:15" ht="18" x14ac:dyDescent="0.55000000000000004">
      <c r="A2002"/>
      <c r="B2002"/>
      <c r="C2002"/>
      <c r="D2002"/>
      <c r="E2002"/>
      <c r="F2002"/>
      <c r="G2002"/>
      <c r="H2002"/>
      <c r="I2002"/>
      <c r="J2002"/>
      <c r="K2002"/>
      <c r="L2002"/>
      <c r="M2002"/>
      <c r="N2002"/>
      <c r="O2002"/>
    </row>
    <row r="2003" spans="1:15" ht="18" x14ac:dyDescent="0.55000000000000004">
      <c r="A2003"/>
      <c r="B2003"/>
      <c r="C2003"/>
      <c r="D2003"/>
      <c r="E2003"/>
      <c r="F2003"/>
      <c r="G2003"/>
      <c r="H2003"/>
      <c r="I2003"/>
      <c r="J2003"/>
      <c r="K2003"/>
      <c r="L2003"/>
      <c r="M2003"/>
      <c r="N2003"/>
      <c r="O2003"/>
    </row>
    <row r="2004" spans="1:15" ht="18" x14ac:dyDescent="0.55000000000000004">
      <c r="A2004"/>
      <c r="B2004"/>
      <c r="C2004"/>
      <c r="D2004"/>
      <c r="E2004"/>
      <c r="F2004"/>
      <c r="G2004"/>
      <c r="H2004"/>
      <c r="I2004"/>
      <c r="J2004"/>
      <c r="K2004"/>
      <c r="L2004"/>
      <c r="M2004"/>
      <c r="N2004"/>
      <c r="O2004"/>
    </row>
    <row r="2005" spans="1:15" ht="18" x14ac:dyDescent="0.55000000000000004">
      <c r="A2005"/>
      <c r="B2005"/>
      <c r="C2005"/>
      <c r="D2005"/>
      <c r="E2005"/>
      <c r="F2005"/>
      <c r="G2005"/>
      <c r="H2005"/>
      <c r="I2005"/>
      <c r="J2005"/>
      <c r="K2005"/>
      <c r="L2005"/>
      <c r="M2005"/>
      <c r="N2005"/>
      <c r="O2005"/>
    </row>
    <row r="2006" spans="1:15" ht="18" x14ac:dyDescent="0.55000000000000004">
      <c r="A2006"/>
      <c r="B2006"/>
      <c r="C2006"/>
      <c r="D2006"/>
      <c r="E2006"/>
      <c r="F2006"/>
      <c r="G2006"/>
      <c r="H2006"/>
      <c r="I2006"/>
      <c r="J2006"/>
      <c r="K2006"/>
      <c r="L2006"/>
      <c r="M2006"/>
      <c r="N2006"/>
      <c r="O2006"/>
    </row>
    <row r="2007" spans="1:15" ht="18" x14ac:dyDescent="0.55000000000000004">
      <c r="A2007"/>
      <c r="B2007"/>
      <c r="C2007"/>
      <c r="D2007"/>
      <c r="E2007"/>
      <c r="F2007"/>
      <c r="G2007"/>
      <c r="H2007"/>
      <c r="I2007"/>
      <c r="J2007"/>
      <c r="K2007"/>
      <c r="L2007"/>
      <c r="M2007"/>
      <c r="N2007"/>
      <c r="O2007"/>
    </row>
    <row r="2008" spans="1:15" ht="18" x14ac:dyDescent="0.55000000000000004">
      <c r="A2008"/>
      <c r="B2008"/>
      <c r="C2008"/>
      <c r="D2008"/>
      <c r="E2008"/>
      <c r="F2008"/>
      <c r="G2008"/>
      <c r="H2008"/>
      <c r="I2008"/>
      <c r="J2008"/>
      <c r="K2008"/>
      <c r="L2008"/>
      <c r="M2008"/>
      <c r="N2008"/>
      <c r="O2008"/>
    </row>
    <row r="2009" spans="1:15" ht="18" x14ac:dyDescent="0.55000000000000004">
      <c r="A2009"/>
      <c r="B2009"/>
      <c r="C2009"/>
      <c r="D2009"/>
      <c r="E2009"/>
      <c r="F2009"/>
      <c r="G2009"/>
      <c r="H2009"/>
      <c r="I2009"/>
      <c r="J2009"/>
      <c r="K2009"/>
      <c r="L2009"/>
      <c r="M2009"/>
      <c r="N2009"/>
      <c r="O2009"/>
    </row>
    <row r="2010" spans="1:15" ht="18" x14ac:dyDescent="0.55000000000000004">
      <c r="A2010"/>
      <c r="B2010"/>
      <c r="C2010"/>
      <c r="D2010"/>
      <c r="E2010"/>
      <c r="F2010"/>
      <c r="G2010"/>
      <c r="H2010"/>
      <c r="I2010"/>
      <c r="J2010"/>
      <c r="K2010"/>
      <c r="L2010"/>
      <c r="M2010"/>
      <c r="N2010"/>
      <c r="O2010"/>
    </row>
    <row r="2011" spans="1:15" ht="18" x14ac:dyDescent="0.55000000000000004">
      <c r="A2011"/>
      <c r="B2011"/>
      <c r="C2011"/>
      <c r="D2011"/>
      <c r="E2011"/>
      <c r="F2011"/>
      <c r="G2011"/>
      <c r="H2011"/>
      <c r="I2011"/>
      <c r="J2011"/>
      <c r="K2011"/>
      <c r="L2011"/>
      <c r="M2011"/>
      <c r="N2011"/>
      <c r="O2011"/>
    </row>
    <row r="2012" spans="1:15" ht="18" x14ac:dyDescent="0.55000000000000004">
      <c r="A2012"/>
      <c r="B2012"/>
      <c r="C2012"/>
      <c r="D2012"/>
      <c r="E2012"/>
      <c r="F2012"/>
      <c r="G2012"/>
      <c r="H2012"/>
      <c r="I2012"/>
      <c r="J2012"/>
      <c r="K2012"/>
      <c r="L2012"/>
      <c r="M2012"/>
      <c r="N2012"/>
      <c r="O2012"/>
    </row>
    <row r="2013" spans="1:15" ht="18" x14ac:dyDescent="0.55000000000000004">
      <c r="A2013"/>
      <c r="B2013"/>
      <c r="C2013"/>
      <c r="D2013"/>
      <c r="E2013"/>
      <c r="F2013"/>
      <c r="G2013"/>
      <c r="H2013"/>
      <c r="I2013"/>
      <c r="J2013"/>
      <c r="K2013"/>
      <c r="L2013"/>
      <c r="M2013"/>
      <c r="N2013"/>
      <c r="O2013"/>
    </row>
    <row r="2014" spans="1:15" ht="18" x14ac:dyDescent="0.55000000000000004">
      <c r="A2014"/>
      <c r="B2014"/>
      <c r="C2014"/>
      <c r="D2014"/>
      <c r="E2014"/>
      <c r="F2014"/>
      <c r="G2014"/>
      <c r="H2014"/>
      <c r="I2014"/>
      <c r="J2014"/>
      <c r="K2014"/>
      <c r="L2014"/>
      <c r="M2014"/>
      <c r="N2014"/>
      <c r="O2014"/>
    </row>
    <row r="2015" spans="1:15" ht="18" x14ac:dyDescent="0.55000000000000004">
      <c r="A2015"/>
      <c r="B2015"/>
      <c r="C2015"/>
      <c r="D2015"/>
      <c r="E2015"/>
      <c r="F2015"/>
      <c r="G2015"/>
      <c r="H2015"/>
      <c r="I2015"/>
      <c r="J2015"/>
      <c r="K2015"/>
      <c r="L2015"/>
      <c r="M2015"/>
      <c r="N2015"/>
      <c r="O2015"/>
    </row>
    <row r="2016" spans="1:15" ht="18" x14ac:dyDescent="0.55000000000000004">
      <c r="A2016"/>
      <c r="B2016"/>
      <c r="C2016"/>
      <c r="D2016"/>
      <c r="E2016"/>
      <c r="F2016"/>
      <c r="G2016"/>
      <c r="H2016"/>
      <c r="I2016"/>
      <c r="J2016"/>
      <c r="K2016"/>
      <c r="L2016"/>
      <c r="M2016"/>
      <c r="N2016"/>
      <c r="O2016"/>
    </row>
    <row r="2017" spans="1:15" ht="18" x14ac:dyDescent="0.55000000000000004">
      <c r="A2017"/>
      <c r="B2017"/>
      <c r="C2017"/>
      <c r="D2017"/>
      <c r="E2017"/>
      <c r="F2017"/>
      <c r="G2017"/>
      <c r="H2017"/>
      <c r="I2017"/>
      <c r="J2017"/>
      <c r="K2017"/>
      <c r="L2017"/>
      <c r="M2017"/>
      <c r="N2017"/>
      <c r="O2017"/>
    </row>
    <row r="2018" spans="1:15" ht="18" x14ac:dyDescent="0.55000000000000004">
      <c r="A2018"/>
      <c r="B2018"/>
      <c r="C2018"/>
      <c r="D2018"/>
      <c r="E2018"/>
      <c r="F2018"/>
      <c r="G2018"/>
      <c r="H2018"/>
      <c r="I2018"/>
      <c r="J2018"/>
      <c r="K2018"/>
      <c r="L2018"/>
      <c r="M2018"/>
      <c r="N2018"/>
      <c r="O2018"/>
    </row>
    <row r="2019" spans="1:15" ht="18" x14ac:dyDescent="0.55000000000000004">
      <c r="A2019"/>
      <c r="B2019"/>
      <c r="C2019"/>
      <c r="D2019"/>
      <c r="E2019"/>
      <c r="F2019"/>
      <c r="G2019"/>
      <c r="H2019"/>
      <c r="I2019"/>
      <c r="J2019"/>
      <c r="K2019"/>
      <c r="L2019"/>
      <c r="M2019"/>
      <c r="N2019"/>
      <c r="O2019"/>
    </row>
    <row r="2020" spans="1:15" ht="18" x14ac:dyDescent="0.55000000000000004">
      <c r="A2020"/>
      <c r="B2020"/>
      <c r="C2020"/>
      <c r="D2020"/>
      <c r="E2020"/>
      <c r="F2020"/>
      <c r="G2020"/>
      <c r="H2020"/>
      <c r="I2020"/>
      <c r="J2020"/>
      <c r="K2020"/>
      <c r="L2020"/>
      <c r="M2020"/>
      <c r="N2020"/>
      <c r="O2020"/>
    </row>
    <row r="2021" spans="1:15" ht="18" x14ac:dyDescent="0.55000000000000004">
      <c r="A2021"/>
      <c r="B2021"/>
      <c r="C2021"/>
      <c r="D2021"/>
      <c r="E2021"/>
      <c r="F2021"/>
      <c r="G2021"/>
      <c r="H2021"/>
      <c r="I2021"/>
      <c r="J2021"/>
      <c r="K2021"/>
      <c r="L2021"/>
      <c r="M2021"/>
      <c r="N2021"/>
      <c r="O2021"/>
    </row>
    <row r="2022" spans="1:15" ht="18" x14ac:dyDescent="0.55000000000000004">
      <c r="A2022"/>
      <c r="B2022"/>
      <c r="C2022"/>
      <c r="D2022"/>
      <c r="E2022"/>
      <c r="F2022"/>
      <c r="G2022"/>
      <c r="H2022"/>
      <c r="I2022"/>
      <c r="J2022"/>
      <c r="K2022"/>
      <c r="L2022"/>
      <c r="M2022"/>
      <c r="N2022"/>
      <c r="O2022"/>
    </row>
    <row r="2023" spans="1:15" ht="18" x14ac:dyDescent="0.55000000000000004">
      <c r="A2023"/>
      <c r="B2023"/>
      <c r="C2023"/>
      <c r="D2023"/>
      <c r="E2023"/>
      <c r="F2023"/>
      <c r="G2023"/>
      <c r="H2023"/>
      <c r="I2023"/>
      <c r="J2023"/>
      <c r="K2023"/>
      <c r="L2023"/>
      <c r="M2023"/>
      <c r="N2023"/>
      <c r="O2023"/>
    </row>
    <row r="2024" spans="1:15" ht="18" x14ac:dyDescent="0.55000000000000004">
      <c r="A2024"/>
      <c r="B2024"/>
      <c r="C2024"/>
      <c r="D2024"/>
      <c r="E2024"/>
      <c r="F2024"/>
      <c r="G2024"/>
      <c r="H2024"/>
      <c r="I2024"/>
      <c r="J2024"/>
      <c r="K2024"/>
      <c r="L2024"/>
      <c r="M2024"/>
      <c r="N2024"/>
      <c r="O2024"/>
    </row>
    <row r="2025" spans="1:15" ht="18" x14ac:dyDescent="0.55000000000000004">
      <c r="A2025"/>
      <c r="B2025"/>
      <c r="C2025"/>
      <c r="D2025"/>
      <c r="E2025"/>
      <c r="F2025"/>
      <c r="G2025"/>
      <c r="H2025"/>
      <c r="I2025"/>
      <c r="J2025"/>
      <c r="K2025"/>
      <c r="L2025"/>
      <c r="M2025"/>
      <c r="N2025"/>
      <c r="O2025"/>
    </row>
    <row r="2026" spans="1:15" ht="18" x14ac:dyDescent="0.55000000000000004">
      <c r="A2026"/>
      <c r="B2026"/>
      <c r="C2026"/>
      <c r="D2026"/>
      <c r="E2026"/>
      <c r="F2026"/>
      <c r="G2026"/>
      <c r="H2026"/>
      <c r="I2026"/>
      <c r="J2026"/>
      <c r="K2026"/>
      <c r="L2026"/>
      <c r="M2026"/>
      <c r="N2026"/>
      <c r="O2026"/>
    </row>
    <row r="2027" spans="1:15" ht="18" x14ac:dyDescent="0.55000000000000004">
      <c r="A2027"/>
      <c r="B2027"/>
      <c r="C2027"/>
      <c r="D2027"/>
      <c r="E2027"/>
      <c r="F2027"/>
      <c r="G2027"/>
      <c r="H2027"/>
      <c r="I2027"/>
      <c r="J2027"/>
      <c r="K2027"/>
      <c r="L2027"/>
      <c r="M2027"/>
      <c r="N2027"/>
      <c r="O2027"/>
    </row>
    <row r="2028" spans="1:15" ht="18" x14ac:dyDescent="0.55000000000000004">
      <c r="A2028"/>
      <c r="B2028"/>
      <c r="C2028"/>
      <c r="D2028"/>
      <c r="E2028"/>
      <c r="F2028"/>
      <c r="G2028"/>
      <c r="H2028"/>
      <c r="I2028"/>
      <c r="J2028"/>
      <c r="K2028"/>
      <c r="L2028"/>
      <c r="M2028"/>
      <c r="N2028"/>
      <c r="O2028"/>
    </row>
    <row r="2029" spans="1:15" ht="18" x14ac:dyDescent="0.55000000000000004">
      <c r="A2029"/>
      <c r="B2029"/>
      <c r="C2029"/>
      <c r="D2029"/>
      <c r="E2029"/>
      <c r="F2029"/>
      <c r="G2029"/>
      <c r="H2029"/>
      <c r="I2029"/>
      <c r="J2029"/>
      <c r="K2029"/>
      <c r="L2029"/>
      <c r="M2029"/>
      <c r="N2029"/>
      <c r="O2029"/>
    </row>
    <row r="2030" spans="1:15" ht="18" x14ac:dyDescent="0.55000000000000004">
      <c r="A2030"/>
      <c r="B2030"/>
      <c r="C2030"/>
      <c r="D2030"/>
      <c r="E2030"/>
      <c r="F2030"/>
      <c r="G2030"/>
      <c r="H2030"/>
      <c r="I2030"/>
      <c r="J2030"/>
      <c r="K2030"/>
      <c r="L2030"/>
      <c r="M2030"/>
      <c r="N2030"/>
      <c r="O2030"/>
    </row>
    <row r="2031" spans="1:15" ht="18" x14ac:dyDescent="0.55000000000000004">
      <c r="A2031"/>
      <c r="B2031"/>
      <c r="C2031"/>
      <c r="D2031"/>
      <c r="E2031"/>
      <c r="F2031"/>
      <c r="G2031"/>
      <c r="H2031"/>
      <c r="I2031"/>
      <c r="J2031"/>
      <c r="K2031"/>
      <c r="L2031"/>
      <c r="M2031"/>
      <c r="N2031"/>
      <c r="O2031"/>
    </row>
    <row r="2032" spans="1:15" ht="18" x14ac:dyDescent="0.55000000000000004">
      <c r="A2032"/>
      <c r="B2032"/>
      <c r="C2032"/>
      <c r="D2032"/>
      <c r="E2032"/>
      <c r="F2032"/>
      <c r="G2032"/>
      <c r="H2032"/>
      <c r="I2032"/>
      <c r="J2032"/>
      <c r="K2032"/>
      <c r="L2032"/>
      <c r="M2032"/>
      <c r="N2032"/>
      <c r="O2032"/>
    </row>
    <row r="2033" spans="1:15" ht="18" x14ac:dyDescent="0.55000000000000004">
      <c r="A2033"/>
      <c r="B2033"/>
      <c r="C2033"/>
      <c r="D2033"/>
      <c r="E2033"/>
      <c r="F2033"/>
      <c r="G2033"/>
      <c r="H2033"/>
      <c r="I2033"/>
      <c r="J2033"/>
      <c r="K2033"/>
      <c r="L2033"/>
      <c r="M2033"/>
      <c r="N2033"/>
      <c r="O2033"/>
    </row>
    <row r="2034" spans="1:15" ht="18" x14ac:dyDescent="0.55000000000000004">
      <c r="A2034"/>
      <c r="B2034"/>
      <c r="C2034"/>
      <c r="D2034"/>
      <c r="E2034"/>
      <c r="F2034"/>
      <c r="G2034"/>
      <c r="H2034"/>
      <c r="I2034"/>
      <c r="J2034"/>
      <c r="K2034"/>
      <c r="L2034"/>
      <c r="M2034"/>
      <c r="N2034"/>
      <c r="O2034"/>
    </row>
    <row r="2035" spans="1:15" ht="18" x14ac:dyDescent="0.55000000000000004">
      <c r="A2035"/>
      <c r="B2035"/>
      <c r="C2035"/>
      <c r="D2035"/>
      <c r="E2035"/>
      <c r="F2035"/>
      <c r="G2035"/>
      <c r="H2035"/>
      <c r="I2035"/>
      <c r="J2035"/>
      <c r="K2035"/>
      <c r="L2035"/>
      <c r="M2035"/>
      <c r="N2035"/>
      <c r="O2035"/>
    </row>
    <row r="2036" spans="1:15" ht="18" x14ac:dyDescent="0.55000000000000004">
      <c r="A2036"/>
      <c r="B2036"/>
      <c r="C2036"/>
      <c r="D2036"/>
      <c r="E2036"/>
      <c r="F2036"/>
      <c r="G2036"/>
      <c r="H2036"/>
      <c r="I2036"/>
      <c r="J2036"/>
      <c r="K2036"/>
      <c r="L2036"/>
      <c r="M2036"/>
      <c r="N2036"/>
      <c r="O2036"/>
    </row>
    <row r="2037" spans="1:15" ht="18" x14ac:dyDescent="0.55000000000000004">
      <c r="A2037"/>
      <c r="B2037"/>
      <c r="C2037"/>
      <c r="D2037"/>
      <c r="E2037"/>
      <c r="F2037"/>
      <c r="G2037"/>
      <c r="H2037"/>
      <c r="I2037"/>
      <c r="J2037"/>
      <c r="K2037"/>
      <c r="L2037"/>
      <c r="M2037"/>
      <c r="N2037"/>
      <c r="O2037"/>
    </row>
    <row r="2038" spans="1:15" ht="18" x14ac:dyDescent="0.55000000000000004">
      <c r="A2038"/>
      <c r="B2038"/>
      <c r="C2038"/>
      <c r="D2038"/>
      <c r="E2038"/>
      <c r="F2038"/>
      <c r="G2038"/>
      <c r="H2038"/>
      <c r="I2038"/>
      <c r="J2038"/>
      <c r="K2038"/>
      <c r="L2038"/>
      <c r="M2038"/>
      <c r="N2038"/>
      <c r="O2038"/>
    </row>
    <row r="2039" spans="1:15" ht="18" x14ac:dyDescent="0.55000000000000004">
      <c r="A2039"/>
      <c r="B2039"/>
      <c r="C2039"/>
      <c r="D2039"/>
      <c r="E2039"/>
      <c r="F2039"/>
      <c r="G2039"/>
      <c r="H2039"/>
      <c r="I2039"/>
      <c r="J2039"/>
      <c r="K2039"/>
      <c r="L2039"/>
      <c r="M2039"/>
      <c r="N2039"/>
      <c r="O2039"/>
    </row>
    <row r="2040" spans="1:15" ht="18" x14ac:dyDescent="0.55000000000000004">
      <c r="A2040"/>
      <c r="B2040"/>
      <c r="C2040"/>
      <c r="D2040"/>
      <c r="E2040"/>
      <c r="F2040"/>
      <c r="G2040"/>
      <c r="H2040"/>
      <c r="I2040"/>
      <c r="J2040"/>
      <c r="K2040"/>
      <c r="L2040"/>
      <c r="M2040"/>
      <c r="N2040"/>
      <c r="O2040"/>
    </row>
    <row r="2041" spans="1:15" ht="18" x14ac:dyDescent="0.55000000000000004">
      <c r="A2041"/>
      <c r="B2041"/>
      <c r="C2041"/>
      <c r="D2041"/>
      <c r="E2041"/>
      <c r="F2041"/>
      <c r="G2041"/>
      <c r="H2041"/>
      <c r="I2041"/>
      <c r="J2041"/>
      <c r="K2041"/>
      <c r="L2041"/>
      <c r="M2041"/>
      <c r="N2041"/>
      <c r="O2041"/>
    </row>
    <row r="2042" spans="1:15" ht="18" x14ac:dyDescent="0.55000000000000004">
      <c r="A2042"/>
      <c r="B2042"/>
      <c r="C2042"/>
      <c r="D2042"/>
      <c r="E2042"/>
      <c r="F2042"/>
      <c r="G2042"/>
      <c r="H2042"/>
      <c r="I2042"/>
      <c r="J2042"/>
      <c r="K2042"/>
      <c r="L2042"/>
      <c r="M2042"/>
      <c r="N2042"/>
      <c r="O2042"/>
    </row>
    <row r="2043" spans="1:15" ht="18" x14ac:dyDescent="0.55000000000000004">
      <c r="A2043"/>
      <c r="B2043"/>
      <c r="C2043"/>
      <c r="D2043"/>
      <c r="E2043"/>
      <c r="F2043"/>
      <c r="G2043"/>
      <c r="H2043"/>
      <c r="I2043"/>
      <c r="J2043"/>
      <c r="K2043"/>
      <c r="L2043"/>
      <c r="M2043"/>
      <c r="N2043"/>
      <c r="O2043"/>
    </row>
    <row r="2044" spans="1:15" ht="18" x14ac:dyDescent="0.55000000000000004">
      <c r="A2044"/>
      <c r="B2044"/>
      <c r="C2044"/>
      <c r="D2044"/>
      <c r="E2044"/>
      <c r="F2044"/>
      <c r="G2044"/>
      <c r="H2044"/>
      <c r="I2044"/>
      <c r="J2044"/>
      <c r="K2044"/>
      <c r="L2044"/>
      <c r="M2044"/>
      <c r="N2044"/>
      <c r="O2044"/>
    </row>
    <row r="2045" spans="1:15" ht="18" x14ac:dyDescent="0.55000000000000004">
      <c r="A2045"/>
      <c r="B2045"/>
      <c r="C2045"/>
      <c r="D2045"/>
      <c r="E2045"/>
      <c r="F2045"/>
      <c r="G2045"/>
      <c r="H2045"/>
      <c r="I2045"/>
      <c r="J2045"/>
      <c r="K2045"/>
      <c r="L2045"/>
      <c r="M2045"/>
      <c r="N2045"/>
      <c r="O2045"/>
    </row>
    <row r="2046" spans="1:15" ht="18" x14ac:dyDescent="0.55000000000000004">
      <c r="A2046"/>
      <c r="B2046"/>
      <c r="C2046"/>
      <c r="D2046"/>
      <c r="E2046"/>
      <c r="F2046"/>
      <c r="G2046"/>
      <c r="H2046"/>
      <c r="I2046"/>
      <c r="J2046"/>
      <c r="K2046"/>
      <c r="L2046"/>
      <c r="M2046"/>
      <c r="N2046"/>
      <c r="O2046"/>
    </row>
    <row r="2047" spans="1:15" ht="18" x14ac:dyDescent="0.55000000000000004">
      <c r="A2047"/>
      <c r="B2047"/>
      <c r="C2047"/>
      <c r="D2047"/>
      <c r="E2047"/>
      <c r="F2047"/>
      <c r="G2047"/>
      <c r="H2047"/>
      <c r="I2047"/>
      <c r="J2047"/>
      <c r="K2047"/>
      <c r="L2047"/>
      <c r="M2047"/>
      <c r="N2047"/>
      <c r="O2047"/>
    </row>
    <row r="2048" spans="1:15" ht="18" x14ac:dyDescent="0.55000000000000004">
      <c r="A2048"/>
      <c r="B2048"/>
      <c r="C2048"/>
      <c r="D2048"/>
      <c r="E2048"/>
      <c r="F2048"/>
      <c r="G2048"/>
      <c r="H2048"/>
      <c r="I2048"/>
      <c r="J2048"/>
      <c r="K2048"/>
      <c r="L2048"/>
      <c r="M2048"/>
      <c r="N2048"/>
      <c r="O2048"/>
    </row>
    <row r="2049" spans="1:15" ht="18" x14ac:dyDescent="0.55000000000000004">
      <c r="A2049"/>
      <c r="B2049"/>
      <c r="C2049"/>
      <c r="D2049"/>
      <c r="E2049"/>
      <c r="F2049"/>
      <c r="G2049"/>
      <c r="H2049"/>
      <c r="I2049"/>
      <c r="J2049"/>
      <c r="K2049"/>
      <c r="L2049"/>
      <c r="M2049"/>
      <c r="N2049"/>
      <c r="O2049"/>
    </row>
    <row r="2050" spans="1:15" ht="18" x14ac:dyDescent="0.55000000000000004">
      <c r="A2050"/>
      <c r="B2050"/>
      <c r="C2050"/>
      <c r="D2050"/>
      <c r="E2050"/>
      <c r="F2050"/>
      <c r="G2050"/>
      <c r="H2050"/>
      <c r="I2050"/>
      <c r="J2050"/>
      <c r="K2050"/>
      <c r="L2050"/>
      <c r="M2050"/>
      <c r="N2050"/>
      <c r="O2050"/>
    </row>
    <row r="2051" spans="1:15" ht="18" x14ac:dyDescent="0.55000000000000004">
      <c r="A2051"/>
      <c r="B2051"/>
      <c r="C2051"/>
      <c r="D2051"/>
      <c r="E2051"/>
      <c r="F2051"/>
      <c r="G2051"/>
      <c r="H2051"/>
      <c r="I2051"/>
      <c r="J2051"/>
      <c r="K2051"/>
      <c r="L2051"/>
      <c r="M2051"/>
      <c r="N2051"/>
      <c r="O2051"/>
    </row>
    <row r="2052" spans="1:15" ht="18" x14ac:dyDescent="0.55000000000000004">
      <c r="A2052"/>
      <c r="B2052"/>
      <c r="C2052"/>
      <c r="D2052"/>
      <c r="E2052"/>
      <c r="F2052"/>
      <c r="G2052"/>
      <c r="H2052"/>
      <c r="I2052"/>
      <c r="J2052"/>
      <c r="K2052"/>
      <c r="L2052"/>
      <c r="M2052"/>
      <c r="N2052"/>
      <c r="O2052"/>
    </row>
    <row r="2053" spans="1:15" ht="18" x14ac:dyDescent="0.55000000000000004">
      <c r="A2053"/>
      <c r="B2053"/>
      <c r="C2053"/>
      <c r="D2053"/>
      <c r="E2053"/>
      <c r="F2053"/>
      <c r="G2053"/>
      <c r="H2053"/>
      <c r="I2053"/>
      <c r="J2053"/>
      <c r="K2053"/>
      <c r="L2053"/>
      <c r="M2053"/>
      <c r="N2053"/>
      <c r="O2053"/>
    </row>
    <row r="2054" spans="1:15" ht="18" x14ac:dyDescent="0.55000000000000004">
      <c r="A2054"/>
      <c r="B2054"/>
      <c r="C2054"/>
      <c r="D2054"/>
      <c r="E2054"/>
      <c r="F2054"/>
      <c r="G2054"/>
      <c r="H2054"/>
      <c r="I2054"/>
      <c r="J2054"/>
      <c r="K2054"/>
      <c r="L2054"/>
      <c r="M2054"/>
      <c r="N2054"/>
      <c r="O2054"/>
    </row>
    <row r="2055" spans="1:15" ht="18" x14ac:dyDescent="0.55000000000000004">
      <c r="A2055"/>
      <c r="B2055"/>
      <c r="C2055"/>
      <c r="D2055"/>
      <c r="E2055"/>
      <c r="F2055"/>
      <c r="G2055"/>
      <c r="H2055"/>
      <c r="I2055"/>
      <c r="J2055"/>
      <c r="K2055"/>
      <c r="L2055"/>
      <c r="M2055"/>
      <c r="N2055"/>
      <c r="O2055"/>
    </row>
    <row r="2056" spans="1:15" ht="18" x14ac:dyDescent="0.55000000000000004">
      <c r="A2056"/>
      <c r="B2056"/>
      <c r="C2056"/>
      <c r="D2056"/>
      <c r="E2056"/>
      <c r="F2056"/>
      <c r="G2056"/>
      <c r="H2056"/>
      <c r="I2056"/>
      <c r="J2056"/>
      <c r="K2056"/>
      <c r="L2056"/>
      <c r="M2056"/>
      <c r="N2056"/>
      <c r="O2056"/>
    </row>
    <row r="2057" spans="1:15" ht="18" x14ac:dyDescent="0.55000000000000004">
      <c r="A2057"/>
      <c r="B2057"/>
      <c r="C2057"/>
      <c r="D2057"/>
      <c r="E2057"/>
      <c r="F2057"/>
      <c r="G2057"/>
      <c r="H2057"/>
      <c r="I2057"/>
      <c r="J2057"/>
      <c r="K2057"/>
      <c r="L2057"/>
      <c r="M2057"/>
      <c r="N2057"/>
      <c r="O2057"/>
    </row>
    <row r="2058" spans="1:15" ht="18" x14ac:dyDescent="0.55000000000000004">
      <c r="A2058"/>
      <c r="B2058"/>
      <c r="C2058"/>
      <c r="D2058"/>
      <c r="E2058"/>
      <c r="F2058"/>
      <c r="G2058"/>
      <c r="H2058"/>
      <c r="I2058"/>
      <c r="J2058"/>
      <c r="K2058"/>
      <c r="L2058"/>
      <c r="M2058"/>
      <c r="N2058"/>
      <c r="O2058"/>
    </row>
    <row r="2059" spans="1:15" ht="18" x14ac:dyDescent="0.55000000000000004">
      <c r="A2059"/>
      <c r="B2059"/>
      <c r="C2059"/>
      <c r="D2059"/>
      <c r="E2059"/>
      <c r="F2059"/>
      <c r="G2059"/>
      <c r="H2059"/>
      <c r="I2059"/>
      <c r="J2059"/>
      <c r="K2059"/>
      <c r="L2059"/>
      <c r="M2059"/>
      <c r="N2059"/>
      <c r="O2059"/>
    </row>
    <row r="2060" spans="1:15" ht="18" x14ac:dyDescent="0.55000000000000004">
      <c r="A2060"/>
      <c r="B2060"/>
      <c r="C2060"/>
      <c r="D2060"/>
      <c r="E2060"/>
      <c r="F2060"/>
      <c r="G2060"/>
      <c r="H2060"/>
      <c r="I2060"/>
      <c r="J2060"/>
      <c r="K2060"/>
      <c r="L2060"/>
      <c r="M2060"/>
      <c r="N2060"/>
      <c r="O2060"/>
    </row>
    <row r="2061" spans="1:15" ht="18" x14ac:dyDescent="0.55000000000000004">
      <c r="A2061"/>
      <c r="B2061"/>
      <c r="C2061"/>
      <c r="D2061"/>
      <c r="E2061"/>
      <c r="F2061"/>
      <c r="G2061"/>
      <c r="H2061"/>
      <c r="I2061"/>
      <c r="J2061"/>
      <c r="K2061"/>
      <c r="L2061"/>
      <c r="M2061"/>
      <c r="N2061"/>
      <c r="O2061"/>
    </row>
    <row r="2062" spans="1:15" ht="18" x14ac:dyDescent="0.55000000000000004">
      <c r="A2062"/>
      <c r="B2062"/>
      <c r="C2062"/>
      <c r="D2062"/>
      <c r="E2062"/>
      <c r="F2062"/>
      <c r="G2062"/>
      <c r="H2062"/>
      <c r="I2062"/>
      <c r="J2062"/>
      <c r="K2062"/>
      <c r="L2062"/>
      <c r="M2062"/>
      <c r="N2062"/>
      <c r="O2062"/>
    </row>
    <row r="2063" spans="1:15" ht="18" x14ac:dyDescent="0.55000000000000004">
      <c r="A2063"/>
      <c r="B2063"/>
      <c r="C2063"/>
      <c r="D2063"/>
      <c r="E2063"/>
      <c r="F2063"/>
      <c r="G2063"/>
      <c r="H2063"/>
      <c r="I2063"/>
      <c r="J2063"/>
      <c r="K2063"/>
      <c r="L2063"/>
      <c r="M2063"/>
      <c r="N2063"/>
      <c r="O2063"/>
    </row>
    <row r="2064" spans="1:15" ht="18" x14ac:dyDescent="0.55000000000000004">
      <c r="A2064"/>
      <c r="B2064"/>
      <c r="C2064"/>
      <c r="D2064"/>
      <c r="E2064"/>
      <c r="F2064"/>
      <c r="G2064"/>
      <c r="H2064"/>
      <c r="I2064"/>
      <c r="J2064"/>
      <c r="K2064"/>
      <c r="L2064"/>
      <c r="M2064"/>
      <c r="N2064"/>
      <c r="O2064"/>
    </row>
    <row r="2065" spans="1:15" ht="18" x14ac:dyDescent="0.55000000000000004">
      <c r="A2065"/>
      <c r="B2065"/>
      <c r="C2065"/>
      <c r="D2065"/>
      <c r="E2065"/>
      <c r="F2065"/>
      <c r="G2065"/>
      <c r="H2065"/>
      <c r="I2065"/>
      <c r="J2065"/>
      <c r="K2065"/>
      <c r="L2065"/>
      <c r="M2065"/>
      <c r="N2065"/>
      <c r="O2065"/>
    </row>
    <row r="2066" spans="1:15" ht="18" x14ac:dyDescent="0.55000000000000004">
      <c r="A2066"/>
      <c r="B2066"/>
      <c r="C2066"/>
      <c r="D2066"/>
      <c r="E2066"/>
      <c r="F2066"/>
      <c r="G2066"/>
      <c r="H2066"/>
      <c r="I2066"/>
      <c r="J2066"/>
      <c r="K2066"/>
      <c r="L2066"/>
      <c r="M2066"/>
      <c r="N2066"/>
      <c r="O2066"/>
    </row>
    <row r="2067" spans="1:15" ht="18" x14ac:dyDescent="0.55000000000000004">
      <c r="A2067"/>
      <c r="B2067"/>
      <c r="C2067"/>
      <c r="D2067"/>
      <c r="E2067"/>
      <c r="F2067"/>
      <c r="G2067"/>
      <c r="H2067"/>
      <c r="I2067"/>
      <c r="J2067"/>
      <c r="K2067"/>
      <c r="L2067"/>
      <c r="M2067"/>
      <c r="N2067"/>
      <c r="O2067"/>
    </row>
    <row r="2068" spans="1:15" ht="18" x14ac:dyDescent="0.55000000000000004">
      <c r="A2068"/>
      <c r="B2068"/>
      <c r="C2068"/>
      <c r="D2068"/>
      <c r="E2068"/>
      <c r="F2068"/>
      <c r="G2068"/>
      <c r="H2068"/>
      <c r="I2068"/>
      <c r="J2068"/>
      <c r="K2068"/>
      <c r="L2068"/>
      <c r="M2068"/>
      <c r="N2068"/>
      <c r="O2068"/>
    </row>
    <row r="2069" spans="1:15" ht="18" x14ac:dyDescent="0.55000000000000004">
      <c r="A2069"/>
      <c r="B2069"/>
      <c r="C2069"/>
      <c r="D2069"/>
      <c r="E2069"/>
      <c r="F2069"/>
      <c r="G2069"/>
      <c r="H2069"/>
      <c r="I2069"/>
      <c r="J2069"/>
      <c r="K2069"/>
      <c r="L2069"/>
      <c r="M2069"/>
      <c r="N2069"/>
      <c r="O2069"/>
    </row>
    <row r="2070" spans="1:15" ht="18" x14ac:dyDescent="0.55000000000000004">
      <c r="A2070"/>
      <c r="B2070"/>
      <c r="C2070"/>
      <c r="D2070"/>
      <c r="E2070"/>
      <c r="F2070"/>
      <c r="G2070"/>
      <c r="H2070"/>
      <c r="I2070"/>
      <c r="J2070"/>
      <c r="K2070"/>
      <c r="L2070"/>
      <c r="M2070"/>
      <c r="N2070"/>
      <c r="O2070"/>
    </row>
    <row r="2071" spans="1:15" ht="18" x14ac:dyDescent="0.55000000000000004">
      <c r="A2071"/>
      <c r="B2071"/>
      <c r="C2071"/>
      <c r="D2071"/>
      <c r="E2071"/>
      <c r="F2071"/>
      <c r="G2071"/>
      <c r="H2071"/>
      <c r="I2071"/>
      <c r="J2071"/>
      <c r="K2071"/>
      <c r="L2071"/>
      <c r="M2071"/>
      <c r="N2071"/>
      <c r="O2071"/>
    </row>
    <row r="2072" spans="1:15" ht="18" x14ac:dyDescent="0.55000000000000004">
      <c r="A2072"/>
      <c r="B2072"/>
      <c r="C2072"/>
      <c r="D2072"/>
      <c r="E2072"/>
      <c r="F2072"/>
      <c r="G2072"/>
      <c r="H2072"/>
      <c r="I2072"/>
      <c r="J2072"/>
      <c r="K2072"/>
      <c r="L2072"/>
      <c r="M2072"/>
      <c r="N2072"/>
      <c r="O2072"/>
    </row>
    <row r="2073" spans="1:15" ht="18" x14ac:dyDescent="0.55000000000000004">
      <c r="A2073"/>
      <c r="B2073"/>
      <c r="C2073"/>
      <c r="D2073"/>
      <c r="E2073"/>
      <c r="F2073"/>
      <c r="G2073"/>
      <c r="H2073"/>
      <c r="I2073"/>
      <c r="J2073"/>
      <c r="K2073"/>
      <c r="L2073"/>
      <c r="M2073"/>
      <c r="N2073"/>
      <c r="O2073"/>
    </row>
    <row r="2074" spans="1:15" ht="18" x14ac:dyDescent="0.55000000000000004">
      <c r="A2074"/>
      <c r="B2074"/>
      <c r="C2074"/>
      <c r="D2074"/>
      <c r="E2074"/>
      <c r="F2074"/>
      <c r="G2074"/>
      <c r="H2074"/>
      <c r="I2074"/>
      <c r="J2074"/>
      <c r="K2074"/>
      <c r="L2074"/>
      <c r="M2074"/>
      <c r="N2074"/>
      <c r="O2074"/>
    </row>
    <row r="2075" spans="1:15" ht="18" x14ac:dyDescent="0.55000000000000004">
      <c r="A2075"/>
      <c r="B2075"/>
      <c r="C2075"/>
      <c r="D2075"/>
      <c r="E2075"/>
      <c r="F2075"/>
      <c r="G2075"/>
      <c r="H2075"/>
      <c r="I2075"/>
      <c r="J2075"/>
      <c r="K2075"/>
      <c r="L2075"/>
      <c r="M2075"/>
      <c r="N2075"/>
      <c r="O2075"/>
    </row>
    <row r="2076" spans="1:15" ht="18" x14ac:dyDescent="0.55000000000000004">
      <c r="A2076"/>
      <c r="B2076"/>
      <c r="C2076"/>
      <c r="D2076"/>
      <c r="E2076"/>
      <c r="F2076"/>
      <c r="G2076"/>
      <c r="H2076"/>
      <c r="I2076"/>
      <c r="J2076"/>
      <c r="K2076"/>
      <c r="L2076"/>
      <c r="M2076"/>
      <c r="N2076"/>
      <c r="O2076"/>
    </row>
    <row r="2077" spans="1:15" ht="18" x14ac:dyDescent="0.55000000000000004">
      <c r="A2077"/>
      <c r="B2077"/>
      <c r="C2077"/>
      <c r="D2077"/>
      <c r="E2077"/>
      <c r="F2077"/>
      <c r="G2077"/>
      <c r="H2077"/>
      <c r="I2077"/>
      <c r="J2077"/>
      <c r="K2077"/>
      <c r="L2077"/>
      <c r="M2077"/>
      <c r="N2077"/>
      <c r="O2077"/>
    </row>
    <row r="2078" spans="1:15" ht="18" x14ac:dyDescent="0.55000000000000004">
      <c r="A2078"/>
      <c r="B2078"/>
      <c r="C2078"/>
      <c r="D2078"/>
      <c r="E2078"/>
      <c r="F2078"/>
      <c r="G2078"/>
      <c r="H2078"/>
      <c r="I2078"/>
      <c r="J2078"/>
      <c r="K2078"/>
      <c r="L2078"/>
      <c r="M2078"/>
      <c r="N2078"/>
      <c r="O2078"/>
    </row>
    <row r="2079" spans="1:15" ht="18" x14ac:dyDescent="0.55000000000000004">
      <c r="A2079"/>
      <c r="B2079"/>
      <c r="C2079"/>
      <c r="D2079"/>
      <c r="E2079"/>
      <c r="F2079"/>
      <c r="G2079"/>
      <c r="H2079"/>
      <c r="I2079"/>
      <c r="J2079"/>
      <c r="K2079"/>
      <c r="L2079"/>
      <c r="M2079"/>
      <c r="N2079"/>
      <c r="O2079"/>
    </row>
    <row r="2080" spans="1:15" ht="18" x14ac:dyDescent="0.55000000000000004">
      <c r="A2080"/>
      <c r="B2080"/>
      <c r="C2080"/>
      <c r="D2080"/>
      <c r="E2080"/>
      <c r="F2080"/>
      <c r="G2080"/>
      <c r="H2080"/>
      <c r="I2080"/>
      <c r="J2080"/>
      <c r="K2080"/>
      <c r="L2080"/>
      <c r="M2080"/>
      <c r="N2080"/>
      <c r="O2080"/>
    </row>
    <row r="2081" spans="1:15" ht="18" x14ac:dyDescent="0.55000000000000004">
      <c r="A2081"/>
      <c r="B2081"/>
      <c r="C2081"/>
      <c r="D2081"/>
      <c r="E2081"/>
      <c r="F2081"/>
      <c r="G2081"/>
      <c r="H2081"/>
      <c r="I2081"/>
      <c r="J2081"/>
      <c r="K2081"/>
      <c r="L2081"/>
      <c r="M2081"/>
      <c r="N2081"/>
      <c r="O2081"/>
    </row>
    <row r="2082" spans="1:15" ht="18" x14ac:dyDescent="0.55000000000000004">
      <c r="A2082"/>
      <c r="B2082"/>
      <c r="C2082"/>
      <c r="D2082"/>
      <c r="E2082"/>
      <c r="F2082"/>
      <c r="G2082"/>
      <c r="H2082"/>
      <c r="I2082"/>
      <c r="J2082"/>
      <c r="K2082"/>
      <c r="L2082"/>
      <c r="M2082"/>
      <c r="N2082"/>
      <c r="O2082"/>
    </row>
    <row r="2083" spans="1:15" ht="18" x14ac:dyDescent="0.55000000000000004">
      <c r="A2083"/>
      <c r="B2083"/>
      <c r="C2083"/>
      <c r="D2083"/>
      <c r="E2083"/>
      <c r="F2083"/>
      <c r="G2083"/>
      <c r="H2083"/>
      <c r="I2083"/>
      <c r="J2083"/>
      <c r="K2083"/>
      <c r="L2083"/>
      <c r="M2083"/>
      <c r="N2083"/>
      <c r="O2083"/>
    </row>
    <row r="2084" spans="1:15" ht="18" x14ac:dyDescent="0.55000000000000004">
      <c r="A2084"/>
      <c r="B2084"/>
      <c r="C2084"/>
      <c r="D2084"/>
      <c r="E2084"/>
      <c r="F2084"/>
      <c r="G2084"/>
      <c r="H2084"/>
      <c r="I2084"/>
      <c r="J2084"/>
      <c r="K2084"/>
      <c r="L2084"/>
      <c r="M2084"/>
      <c r="N2084"/>
      <c r="O2084"/>
    </row>
    <row r="2085" spans="1:15" ht="18" x14ac:dyDescent="0.55000000000000004">
      <c r="A2085"/>
      <c r="B2085"/>
      <c r="C2085"/>
      <c r="D2085"/>
      <c r="E2085"/>
      <c r="F2085"/>
      <c r="G2085"/>
      <c r="H2085"/>
      <c r="I2085"/>
      <c r="J2085"/>
      <c r="K2085"/>
      <c r="L2085"/>
      <c r="M2085"/>
      <c r="N2085"/>
      <c r="O2085"/>
    </row>
    <row r="2086" spans="1:15" ht="18" x14ac:dyDescent="0.55000000000000004">
      <c r="A2086"/>
      <c r="B2086"/>
      <c r="C2086"/>
      <c r="D2086"/>
      <c r="E2086"/>
      <c r="F2086"/>
      <c r="G2086"/>
      <c r="H2086"/>
      <c r="I2086"/>
      <c r="J2086"/>
      <c r="K2086"/>
      <c r="L2086"/>
      <c r="M2086"/>
      <c r="N2086"/>
      <c r="O2086"/>
    </row>
    <row r="2087" spans="1:15" ht="18" x14ac:dyDescent="0.55000000000000004">
      <c r="A2087"/>
      <c r="B2087"/>
      <c r="C2087"/>
      <c r="D2087"/>
      <c r="E2087"/>
      <c r="F2087"/>
      <c r="G2087"/>
      <c r="H2087"/>
      <c r="I2087"/>
      <c r="J2087"/>
      <c r="K2087"/>
      <c r="L2087"/>
      <c r="M2087"/>
      <c r="N2087"/>
      <c r="O2087"/>
    </row>
    <row r="2088" spans="1:15" ht="18" x14ac:dyDescent="0.55000000000000004">
      <c r="A2088"/>
      <c r="B2088"/>
      <c r="C2088"/>
      <c r="D2088"/>
      <c r="E2088"/>
      <c r="F2088"/>
      <c r="G2088"/>
      <c r="H2088"/>
      <c r="I2088"/>
      <c r="J2088"/>
      <c r="K2088"/>
      <c r="L2088"/>
      <c r="M2088"/>
      <c r="N2088"/>
      <c r="O2088"/>
    </row>
    <row r="2089" spans="1:15" ht="18" x14ac:dyDescent="0.55000000000000004">
      <c r="A2089"/>
      <c r="B2089"/>
      <c r="C2089"/>
      <c r="D2089"/>
      <c r="E2089"/>
      <c r="F2089"/>
      <c r="G2089"/>
      <c r="H2089"/>
      <c r="I2089"/>
      <c r="J2089"/>
      <c r="K2089"/>
      <c r="L2089"/>
      <c r="M2089"/>
      <c r="N2089"/>
      <c r="O2089"/>
    </row>
    <row r="2090" spans="1:15" ht="18" x14ac:dyDescent="0.55000000000000004">
      <c r="A2090"/>
      <c r="B2090"/>
      <c r="C2090"/>
      <c r="D2090"/>
      <c r="E2090"/>
      <c r="F2090"/>
      <c r="G2090"/>
      <c r="H2090"/>
      <c r="I2090"/>
      <c r="J2090"/>
      <c r="K2090"/>
      <c r="L2090"/>
      <c r="M2090"/>
      <c r="N2090"/>
      <c r="O2090"/>
    </row>
    <row r="2091" spans="1:15" ht="18" x14ac:dyDescent="0.55000000000000004">
      <c r="A2091"/>
      <c r="B2091"/>
      <c r="C2091"/>
      <c r="D2091"/>
      <c r="E2091"/>
      <c r="F2091"/>
      <c r="G2091"/>
      <c r="H2091"/>
      <c r="I2091"/>
      <c r="J2091"/>
      <c r="K2091"/>
      <c r="L2091"/>
      <c r="M2091"/>
      <c r="N2091"/>
      <c r="O2091"/>
    </row>
    <row r="2092" spans="1:15" ht="18" x14ac:dyDescent="0.55000000000000004">
      <c r="A2092"/>
      <c r="B2092"/>
      <c r="C2092"/>
      <c r="D2092"/>
      <c r="E2092"/>
      <c r="F2092"/>
      <c r="G2092"/>
      <c r="H2092"/>
      <c r="I2092"/>
      <c r="J2092"/>
      <c r="K2092"/>
      <c r="L2092"/>
      <c r="M2092"/>
      <c r="N2092"/>
      <c r="O2092"/>
    </row>
    <row r="2093" spans="1:15" ht="18" x14ac:dyDescent="0.55000000000000004">
      <c r="A2093"/>
      <c r="B2093"/>
      <c r="C2093"/>
      <c r="D2093"/>
      <c r="E2093"/>
      <c r="F2093"/>
      <c r="G2093"/>
      <c r="H2093"/>
      <c r="I2093"/>
      <c r="J2093"/>
      <c r="K2093"/>
      <c r="L2093"/>
      <c r="M2093"/>
      <c r="N2093"/>
      <c r="O2093"/>
    </row>
    <row r="2094" spans="1:15" ht="18" x14ac:dyDescent="0.55000000000000004">
      <c r="A2094"/>
      <c r="B2094"/>
      <c r="C2094"/>
      <c r="D2094"/>
      <c r="E2094"/>
      <c r="F2094"/>
      <c r="G2094"/>
      <c r="H2094"/>
      <c r="I2094"/>
      <c r="J2094"/>
      <c r="K2094"/>
      <c r="L2094"/>
      <c r="M2094"/>
      <c r="N2094"/>
      <c r="O2094"/>
    </row>
    <row r="2095" spans="1:15" ht="18" x14ac:dyDescent="0.55000000000000004">
      <c r="A2095"/>
      <c r="B2095"/>
      <c r="C2095"/>
      <c r="D2095"/>
      <c r="E2095"/>
      <c r="F2095"/>
      <c r="G2095"/>
      <c r="H2095"/>
      <c r="I2095"/>
      <c r="J2095"/>
      <c r="K2095"/>
      <c r="L2095"/>
      <c r="M2095"/>
      <c r="N2095"/>
      <c r="O2095"/>
    </row>
    <row r="2096" spans="1:15" ht="18" x14ac:dyDescent="0.55000000000000004">
      <c r="A2096"/>
      <c r="B2096"/>
      <c r="C2096"/>
      <c r="D2096"/>
      <c r="E2096"/>
      <c r="F2096"/>
      <c r="G2096"/>
      <c r="H2096"/>
      <c r="I2096"/>
      <c r="J2096"/>
      <c r="K2096"/>
      <c r="L2096"/>
      <c r="M2096"/>
      <c r="N2096"/>
      <c r="O2096"/>
    </row>
    <row r="2097" spans="1:15" ht="18" x14ac:dyDescent="0.55000000000000004">
      <c r="A2097"/>
      <c r="B2097"/>
      <c r="C2097"/>
      <c r="D2097"/>
      <c r="E2097"/>
      <c r="F2097"/>
      <c r="G2097"/>
      <c r="H2097"/>
      <c r="I2097"/>
      <c r="J2097"/>
      <c r="K2097"/>
      <c r="L2097"/>
      <c r="M2097"/>
      <c r="N2097"/>
      <c r="O2097"/>
    </row>
    <row r="2098" spans="1:15" ht="18" x14ac:dyDescent="0.55000000000000004">
      <c r="A2098"/>
      <c r="B2098"/>
      <c r="C2098"/>
      <c r="D2098"/>
      <c r="E2098"/>
      <c r="F2098"/>
      <c r="G2098"/>
      <c r="H2098"/>
      <c r="I2098"/>
      <c r="J2098"/>
      <c r="K2098"/>
      <c r="L2098"/>
      <c r="M2098"/>
      <c r="N2098"/>
      <c r="O2098"/>
    </row>
    <row r="2099" spans="1:15" ht="18" x14ac:dyDescent="0.55000000000000004">
      <c r="A2099"/>
      <c r="B2099"/>
      <c r="C2099"/>
      <c r="D2099"/>
      <c r="E2099"/>
      <c r="F2099"/>
      <c r="G2099"/>
      <c r="H2099"/>
      <c r="I2099"/>
      <c r="J2099"/>
      <c r="K2099"/>
      <c r="L2099"/>
      <c r="M2099"/>
      <c r="N2099"/>
      <c r="O2099"/>
    </row>
    <row r="2100" spans="1:15" ht="18" x14ac:dyDescent="0.55000000000000004">
      <c r="A2100"/>
      <c r="B2100"/>
      <c r="C2100"/>
      <c r="D2100"/>
      <c r="E2100"/>
      <c r="F2100"/>
      <c r="G2100"/>
      <c r="H2100"/>
      <c r="I2100"/>
      <c r="J2100"/>
      <c r="K2100"/>
      <c r="L2100"/>
      <c r="M2100"/>
      <c r="N2100"/>
      <c r="O2100"/>
    </row>
    <row r="2101" spans="1:15" ht="18" x14ac:dyDescent="0.55000000000000004">
      <c r="A2101"/>
      <c r="B2101"/>
      <c r="C2101"/>
      <c r="D2101"/>
      <c r="E2101"/>
      <c r="F2101"/>
      <c r="G2101"/>
      <c r="H2101"/>
      <c r="I2101"/>
      <c r="J2101"/>
      <c r="K2101"/>
      <c r="L2101"/>
      <c r="M2101"/>
      <c r="N2101"/>
      <c r="O2101"/>
    </row>
    <row r="2102" spans="1:15" ht="18" x14ac:dyDescent="0.55000000000000004">
      <c r="A2102"/>
      <c r="B2102"/>
      <c r="C2102"/>
      <c r="D2102"/>
      <c r="E2102"/>
      <c r="F2102"/>
      <c r="G2102"/>
      <c r="H2102"/>
      <c r="I2102"/>
      <c r="J2102"/>
      <c r="K2102"/>
      <c r="L2102"/>
      <c r="M2102"/>
      <c r="N2102"/>
      <c r="O2102"/>
    </row>
  </sheetData>
  <phoneticPr fontId="1"/>
  <conditionalFormatting sqref="B2:B27 D2:D27 J2:K27">
    <cfRule type="expression" dxfId="21" priority="1" stopIfTrue="1">
      <formula>AND($A2&lt;&gt;"",B2="")</formula>
    </cfRule>
  </conditionalFormatting>
  <conditionalFormatting sqref="E22">
    <cfRule type="containsBlanks" dxfId="20" priority="2" stopIfTrue="1">
      <formula>LEN(TRIM(E22))=0</formula>
    </cfRule>
  </conditionalFormatting>
  <conditionalFormatting sqref="F2:G2 F12:G12 G14 F15:G15 G16 F17:G17 G18 F26:G26">
    <cfRule type="containsBlanks" dxfId="19" priority="3" stopIfTrue="1">
      <formula>LEN(TRIM(F2))=0</formula>
    </cfRule>
  </conditionalFormatting>
  <conditionalFormatting sqref="B28:B57 D28:D57 J28:K57">
    <cfRule type="expression" dxfId="0" priority="4" stopIfTrue="1">
      <formula>AND($A28&lt;&gt;"",B28="")</formula>
    </cfRule>
  </conditionalFormatting>
  <dataValidations count="12">
    <dataValidation imeMode="on" allowBlank="1" showInputMessage="1" showErrorMessage="1" sqref="A2103:A1048576 A1 K1 K2103:K1048576" xr:uid="{82371562-DA48-418A-B9E1-F875CA10CC30}"/>
    <dataValidation imeMode="off" allowBlank="1" showInputMessage="1" showErrorMessage="1" sqref="E1:J1 B2103:B1048576 B1 E2103:J1048576" xr:uid="{A44170C6-B920-46F2-AEA3-D4E9954343F7}"/>
    <dataValidation type="list" allowBlank="1" showInputMessage="1" showErrorMessage="1" sqref="D2:D27 D28:D57" xr:uid="{6091F766-549A-4FBC-838C-8FA76185EF42}">
      <formula1>ドメインタイプKEY</formula1>
    </dataValidation>
    <dataValidation imeMode="on" allowBlank="1" showInputMessage="1" showErrorMessage="1" sqref="K2:K27 A2:A27" xr:uid="{773F1383-A2E4-4928-BB41-889A6DAABA80}"/>
    <dataValidation imeMode="off" allowBlank="1" showInputMessage="1" showErrorMessage="1" sqref="B2:B27" xr:uid="{4347AC2E-55C9-42FA-9C17-941D5217CA41}"/>
    <dataValidation imeMode="off" allowBlank="1" showInputMessage="1" showErrorMessage="1" sqref="E22" xr:uid="{94EB12FC-045A-4E0F-9CBF-E6092E7FC9FE}"/>
    <dataValidation imeMode="off" allowBlank="1" showInputMessage="1" showErrorMessage="1" sqref="E7 E14 E16 E18" xr:uid="{3968F2CC-9848-42E4-9D8C-770D6F5B0F66}"/>
    <dataValidation type="whole" imeMode="off" allowBlank="1" showInputMessage="1" showErrorMessage="1" error="0-1000の間で入力可能" sqref="F2:G2 F12:G12 G14 F15:G15 G16 F17:G17 G18 F26:G26" xr:uid="{0CCE5833-2E3C-4C70-B12A-45442B8AD5DF}">
      <formula1>0</formula1>
      <formula2>1000</formula2>
    </dataValidation>
    <dataValidation type="whole" imeMode="off" allowBlank="1" showInputMessage="1" showErrorMessage="1" error="0-1000の間で入力可能" sqref="F6:F7 F9 F14 F16 F18 F24" xr:uid="{C782307F-87B3-421A-876F-B297445AB863}">
      <formula1>0</formula1>
      <formula2>1000</formula2>
    </dataValidation>
    <dataValidation type="textLength" imeMode="off" operator="equal" allowBlank="1" showInputMessage="1" showErrorMessage="1" error="入力不可項目です" sqref="H2:I2 F3:G5 E2:E6 H5:I6 G7:I7 E8:I8 H9:I9 F10:I10 F11:G11 H12:I12 E9:E13 F13:I13 E15 E17 H14:I18 E19:I19 E20:G21 H21:I21 F22:I22 E23:I23 H24:I24 F25:I25 H26:I26 E24:E27 F27:I27" xr:uid="{32F0345E-A739-4C5E-88DF-E4B2F8AC6B99}">
      <formula1>0</formula1>
    </dataValidation>
    <dataValidation imeMode="on" allowBlank="1" showInputMessage="1" showErrorMessage="1" sqref="A28:A57 K28:K57" xr:uid="{A8236D1B-D877-490F-852E-3B4C784E75CA}"/>
    <dataValidation imeMode="off" allowBlank="1" showInputMessage="1" showErrorMessage="1" sqref="B28:B57" xr:uid="{9B2C241D-880F-4A37-A8EB-B8EBB05E04A1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F3052-4C08-4B9D-9A41-DDCFE93F9C83}">
  <sheetPr codeName="derive_elements">
    <tabColor theme="7" tint="0.59999389629810485"/>
  </sheetPr>
  <dimension ref="A1:E575"/>
  <sheetViews>
    <sheetView showGridLines="0" workbookViewId="0">
      <pane ySplit="1" topLeftCell="A2" activePane="bottomLeft" state="frozen"/>
      <selection activeCell="E5" sqref="E5"/>
      <selection pane="bottomLeft" activeCell="C5" sqref="C5"/>
    </sheetView>
  </sheetViews>
  <sheetFormatPr defaultRowHeight="15" x14ac:dyDescent="0.55000000000000004"/>
  <cols>
    <col min="1" max="1" width="8.6640625" style="30"/>
    <col min="2" max="2" width="18.9140625" style="30" customWidth="1"/>
    <col min="3" max="3" width="11.08203125" style="30" bestFit="1" customWidth="1"/>
    <col min="4" max="4" width="13.75" style="30" customWidth="1"/>
    <col min="5" max="5" width="19" style="30" customWidth="1"/>
    <col min="6" max="16384" width="8.6640625" style="30"/>
  </cols>
  <sheetData>
    <row r="1" spans="1:5" s="23" customFormat="1" ht="26" x14ac:dyDescent="0.55000000000000004">
      <c r="A1" s="18" t="s">
        <v>78</v>
      </c>
      <c r="B1" s="28" t="s">
        <v>77</v>
      </c>
      <c r="C1" s="19" t="s">
        <v>70</v>
      </c>
      <c r="D1" s="19" t="s">
        <v>71</v>
      </c>
      <c r="E1" s="22" t="s">
        <v>6</v>
      </c>
    </row>
    <row r="2" spans="1:5" x14ac:dyDescent="0.55000000000000004">
      <c r="A2" s="38" t="s">
        <v>84</v>
      </c>
      <c r="B2" s="38" t="s">
        <v>96</v>
      </c>
      <c r="C2" s="38" t="s">
        <v>112</v>
      </c>
      <c r="D2" s="26" t="str">
        <f t="shared" ref="D2:D35" si="0">camel2snake(C2)</f>
        <v>campane_price</v>
      </c>
      <c r="E2" s="38" t="s">
        <v>97</v>
      </c>
    </row>
    <row r="3" spans="1:5" x14ac:dyDescent="0.55000000000000004">
      <c r="A3" s="38" t="s">
        <v>136</v>
      </c>
      <c r="B3" s="38" t="s">
        <v>148</v>
      </c>
      <c r="C3" s="38" t="s">
        <v>149</v>
      </c>
      <c r="D3" s="26" t="str">
        <f t="shared" si="0"/>
        <v>order_pic</v>
      </c>
      <c r="E3" s="38" t="s">
        <v>151</v>
      </c>
    </row>
    <row r="4" spans="1:5" x14ac:dyDescent="0.55000000000000004">
      <c r="A4" s="38" t="s">
        <v>136</v>
      </c>
      <c r="B4" s="38" t="s">
        <v>150</v>
      </c>
      <c r="C4" s="38" t="s">
        <v>193</v>
      </c>
      <c r="D4" s="26" t="str">
        <f t="shared" si="0"/>
        <v>product_pic</v>
      </c>
      <c r="E4" s="38" t="s">
        <v>152</v>
      </c>
    </row>
    <row r="5" spans="1:5" x14ac:dyDescent="0.55000000000000004">
      <c r="A5" s="43" t="s">
        <v>129</v>
      </c>
      <c r="B5" s="43" t="s">
        <v>194</v>
      </c>
      <c r="C5" s="43" t="s">
        <v>195</v>
      </c>
      <c r="D5" s="44" t="str">
        <f t="shared" si="0"/>
        <v>salese_department</v>
      </c>
      <c r="E5" s="43" t="s">
        <v>194</v>
      </c>
    </row>
    <row r="6" spans="1:5" x14ac:dyDescent="0.55000000000000004">
      <c r="A6" s="38"/>
      <c r="B6" s="38"/>
      <c r="C6" s="38"/>
      <c r="D6" s="26" t="str">
        <f t="shared" ref="D6:D35" si="1">camel2snake(C6)</f>
        <v/>
      </c>
      <c r="E6" s="38"/>
    </row>
    <row r="7" spans="1:5" x14ac:dyDescent="0.55000000000000004">
      <c r="A7" s="38"/>
      <c r="B7" s="38"/>
      <c r="C7" s="38"/>
      <c r="D7" s="26" t="str">
        <f t="shared" si="1"/>
        <v/>
      </c>
      <c r="E7" s="38"/>
    </row>
    <row r="8" spans="1:5" x14ac:dyDescent="0.55000000000000004">
      <c r="A8" s="38"/>
      <c r="B8" s="38"/>
      <c r="C8" s="38"/>
      <c r="D8" s="26" t="str">
        <f t="shared" si="1"/>
        <v/>
      </c>
      <c r="E8" s="38"/>
    </row>
    <row r="9" spans="1:5" x14ac:dyDescent="0.55000000000000004">
      <c r="A9" s="38"/>
      <c r="B9" s="38"/>
      <c r="C9" s="38"/>
      <c r="D9" s="26" t="str">
        <f t="shared" si="1"/>
        <v/>
      </c>
      <c r="E9" s="38"/>
    </row>
    <row r="10" spans="1:5" x14ac:dyDescent="0.55000000000000004">
      <c r="A10" s="38"/>
      <c r="B10" s="38"/>
      <c r="C10" s="38"/>
      <c r="D10" s="26" t="str">
        <f t="shared" si="1"/>
        <v/>
      </c>
      <c r="E10" s="38"/>
    </row>
    <row r="11" spans="1:5" x14ac:dyDescent="0.55000000000000004">
      <c r="A11" s="38"/>
      <c r="B11" s="38"/>
      <c r="C11" s="38"/>
      <c r="D11" s="26" t="str">
        <f t="shared" si="1"/>
        <v/>
      </c>
      <c r="E11" s="38"/>
    </row>
    <row r="12" spans="1:5" x14ac:dyDescent="0.55000000000000004">
      <c r="A12" s="38"/>
      <c r="B12" s="38"/>
      <c r="C12" s="38"/>
      <c r="D12" s="26" t="str">
        <f t="shared" si="1"/>
        <v/>
      </c>
      <c r="E12" s="38"/>
    </row>
    <row r="13" spans="1:5" x14ac:dyDescent="0.55000000000000004">
      <c r="A13" s="38"/>
      <c r="B13" s="38"/>
      <c r="C13" s="38"/>
      <c r="D13" s="26" t="str">
        <f t="shared" si="1"/>
        <v/>
      </c>
      <c r="E13" s="38"/>
    </row>
    <row r="14" spans="1:5" x14ac:dyDescent="0.55000000000000004">
      <c r="A14" s="38"/>
      <c r="B14" s="38"/>
      <c r="C14" s="38"/>
      <c r="D14" s="26" t="str">
        <f t="shared" si="1"/>
        <v/>
      </c>
      <c r="E14" s="38"/>
    </row>
    <row r="15" spans="1:5" x14ac:dyDescent="0.55000000000000004">
      <c r="A15" s="38"/>
      <c r="B15" s="38"/>
      <c r="C15" s="38"/>
      <c r="D15" s="26" t="str">
        <f t="shared" si="1"/>
        <v/>
      </c>
      <c r="E15" s="38"/>
    </row>
    <row r="16" spans="1:5" x14ac:dyDescent="0.55000000000000004">
      <c r="A16" s="38"/>
      <c r="B16" s="38"/>
      <c r="C16" s="38"/>
      <c r="D16" s="26" t="str">
        <f t="shared" si="1"/>
        <v/>
      </c>
      <c r="E16" s="38"/>
    </row>
    <row r="17" spans="1:5" x14ac:dyDescent="0.55000000000000004">
      <c r="A17" s="38"/>
      <c r="B17" s="38"/>
      <c r="C17" s="38"/>
      <c r="D17" s="26" t="str">
        <f t="shared" si="1"/>
        <v/>
      </c>
      <c r="E17" s="38"/>
    </row>
    <row r="18" spans="1:5" x14ac:dyDescent="0.55000000000000004">
      <c r="A18" s="38"/>
      <c r="B18" s="38"/>
      <c r="C18" s="38"/>
      <c r="D18" s="26" t="str">
        <f t="shared" si="1"/>
        <v/>
      </c>
      <c r="E18" s="38"/>
    </row>
    <row r="19" spans="1:5" x14ac:dyDescent="0.55000000000000004">
      <c r="A19" s="38"/>
      <c r="B19" s="38"/>
      <c r="C19" s="38"/>
      <c r="D19" s="26" t="str">
        <f t="shared" si="1"/>
        <v/>
      </c>
      <c r="E19" s="38"/>
    </row>
    <row r="20" spans="1:5" x14ac:dyDescent="0.55000000000000004">
      <c r="A20" s="38"/>
      <c r="B20" s="38"/>
      <c r="C20" s="38"/>
      <c r="D20" s="26" t="str">
        <f t="shared" si="1"/>
        <v/>
      </c>
      <c r="E20" s="38"/>
    </row>
    <row r="21" spans="1:5" x14ac:dyDescent="0.55000000000000004">
      <c r="A21" s="38"/>
      <c r="B21" s="38"/>
      <c r="C21" s="38"/>
      <c r="D21" s="26" t="str">
        <f t="shared" si="1"/>
        <v/>
      </c>
      <c r="E21" s="38"/>
    </row>
    <row r="22" spans="1:5" x14ac:dyDescent="0.55000000000000004">
      <c r="A22" s="38"/>
      <c r="B22" s="38"/>
      <c r="C22" s="38"/>
      <c r="D22" s="26" t="str">
        <f t="shared" si="1"/>
        <v/>
      </c>
      <c r="E22" s="38"/>
    </row>
    <row r="23" spans="1:5" x14ac:dyDescent="0.55000000000000004">
      <c r="A23" s="38"/>
      <c r="B23" s="38"/>
      <c r="C23" s="38"/>
      <c r="D23" s="26" t="str">
        <f t="shared" si="1"/>
        <v/>
      </c>
      <c r="E23" s="38"/>
    </row>
    <row r="24" spans="1:5" x14ac:dyDescent="0.55000000000000004">
      <c r="A24" s="38"/>
      <c r="B24" s="38"/>
      <c r="C24" s="38"/>
      <c r="D24" s="26" t="str">
        <f t="shared" si="1"/>
        <v/>
      </c>
      <c r="E24" s="38"/>
    </row>
    <row r="25" spans="1:5" x14ac:dyDescent="0.55000000000000004">
      <c r="A25" s="38"/>
      <c r="B25" s="38"/>
      <c r="C25" s="38"/>
      <c r="D25" s="26" t="str">
        <f t="shared" si="1"/>
        <v/>
      </c>
      <c r="E25" s="38"/>
    </row>
    <row r="26" spans="1:5" x14ac:dyDescent="0.55000000000000004">
      <c r="A26" s="38"/>
      <c r="B26" s="38"/>
      <c r="C26" s="38"/>
      <c r="D26" s="26" t="str">
        <f t="shared" si="1"/>
        <v/>
      </c>
      <c r="E26" s="38"/>
    </row>
    <row r="27" spans="1:5" x14ac:dyDescent="0.55000000000000004">
      <c r="A27" s="38"/>
      <c r="B27" s="38"/>
      <c r="C27" s="38"/>
      <c r="D27" s="26" t="str">
        <f t="shared" si="1"/>
        <v/>
      </c>
      <c r="E27" s="38"/>
    </row>
    <row r="28" spans="1:5" x14ac:dyDescent="0.55000000000000004">
      <c r="A28" s="38"/>
      <c r="B28" s="38"/>
      <c r="C28" s="38"/>
      <c r="D28" s="26" t="str">
        <f t="shared" si="1"/>
        <v/>
      </c>
      <c r="E28" s="38"/>
    </row>
    <row r="29" spans="1:5" x14ac:dyDescent="0.55000000000000004">
      <c r="A29" s="38"/>
      <c r="B29" s="38"/>
      <c r="C29" s="38"/>
      <c r="D29" s="26" t="str">
        <f t="shared" si="1"/>
        <v/>
      </c>
      <c r="E29" s="38"/>
    </row>
    <row r="30" spans="1:5" x14ac:dyDescent="0.55000000000000004">
      <c r="A30" s="38"/>
      <c r="B30" s="38"/>
      <c r="C30" s="38"/>
      <c r="D30" s="26" t="str">
        <f t="shared" si="1"/>
        <v/>
      </c>
      <c r="E30" s="38"/>
    </row>
    <row r="31" spans="1:5" x14ac:dyDescent="0.55000000000000004">
      <c r="A31" s="38"/>
      <c r="B31" s="38"/>
      <c r="C31" s="38"/>
      <c r="D31" s="26" t="str">
        <f t="shared" si="1"/>
        <v/>
      </c>
      <c r="E31" s="38"/>
    </row>
    <row r="32" spans="1:5" x14ac:dyDescent="0.55000000000000004">
      <c r="A32" s="38"/>
      <c r="B32" s="38"/>
      <c r="C32" s="38"/>
      <c r="D32" s="26" t="str">
        <f t="shared" si="1"/>
        <v/>
      </c>
      <c r="E32" s="38"/>
    </row>
    <row r="33" spans="1:5" x14ac:dyDescent="0.55000000000000004">
      <c r="A33" s="38"/>
      <c r="B33" s="38"/>
      <c r="C33" s="38"/>
      <c r="D33" s="26" t="str">
        <f t="shared" si="1"/>
        <v/>
      </c>
      <c r="E33" s="38"/>
    </row>
    <row r="34" spans="1:5" x14ac:dyDescent="0.55000000000000004">
      <c r="A34" s="38"/>
      <c r="B34" s="38"/>
      <c r="C34" s="38"/>
      <c r="D34" s="26" t="str">
        <f t="shared" si="1"/>
        <v/>
      </c>
      <c r="E34" s="38"/>
    </row>
    <row r="35" spans="1:5" x14ac:dyDescent="0.55000000000000004">
      <c r="A35" s="39"/>
      <c r="B35" s="39"/>
      <c r="C35" s="39"/>
      <c r="D35" s="27" t="str">
        <f t="shared" si="1"/>
        <v/>
      </c>
      <c r="E35" s="39"/>
    </row>
    <row r="36" spans="1:5" ht="18" x14ac:dyDescent="0.55000000000000004">
      <c r="A36"/>
      <c r="B36"/>
      <c r="C36"/>
      <c r="D36"/>
      <c r="E36"/>
    </row>
    <row r="37" spans="1:5" ht="18" x14ac:dyDescent="0.55000000000000004">
      <c r="A37"/>
      <c r="B37"/>
      <c r="C37"/>
      <c r="D37"/>
      <c r="E37"/>
    </row>
    <row r="38" spans="1:5" ht="18" x14ac:dyDescent="0.55000000000000004">
      <c r="A38"/>
      <c r="B38"/>
      <c r="C38"/>
      <c r="D38"/>
      <c r="E38"/>
    </row>
    <row r="39" spans="1:5" ht="18" x14ac:dyDescent="0.55000000000000004">
      <c r="A39"/>
      <c r="B39"/>
      <c r="C39"/>
      <c r="D39"/>
      <c r="E39"/>
    </row>
    <row r="40" spans="1:5" ht="18" x14ac:dyDescent="0.55000000000000004">
      <c r="A40"/>
      <c r="B40"/>
      <c r="C40"/>
      <c r="D40"/>
      <c r="E40"/>
    </row>
    <row r="41" spans="1:5" ht="18" x14ac:dyDescent="0.55000000000000004">
      <c r="A41"/>
      <c r="B41"/>
      <c r="C41"/>
      <c r="D41"/>
      <c r="E41"/>
    </row>
    <row r="42" spans="1:5" ht="18" x14ac:dyDescent="0.55000000000000004">
      <c r="A42"/>
      <c r="B42"/>
      <c r="C42"/>
      <c r="D42"/>
      <c r="E42"/>
    </row>
    <row r="43" spans="1:5" ht="18" x14ac:dyDescent="0.55000000000000004">
      <c r="A43"/>
      <c r="B43"/>
      <c r="C43"/>
      <c r="D43"/>
      <c r="E43"/>
    </row>
    <row r="44" spans="1:5" ht="18" x14ac:dyDescent="0.55000000000000004">
      <c r="A44"/>
      <c r="B44"/>
      <c r="C44"/>
      <c r="D44"/>
      <c r="E44"/>
    </row>
    <row r="45" spans="1:5" ht="18" x14ac:dyDescent="0.55000000000000004">
      <c r="A45"/>
      <c r="B45"/>
      <c r="C45"/>
      <c r="D45"/>
      <c r="E45"/>
    </row>
    <row r="46" spans="1:5" ht="18" x14ac:dyDescent="0.55000000000000004">
      <c r="A46"/>
      <c r="B46"/>
      <c r="C46"/>
      <c r="D46"/>
      <c r="E46"/>
    </row>
    <row r="47" spans="1:5" ht="18" x14ac:dyDescent="0.55000000000000004">
      <c r="A47"/>
      <c r="B47"/>
      <c r="C47"/>
      <c r="D47"/>
      <c r="E47"/>
    </row>
    <row r="48" spans="1:5" ht="18" x14ac:dyDescent="0.55000000000000004">
      <c r="A48"/>
      <c r="B48"/>
      <c r="C48"/>
      <c r="D48"/>
      <c r="E48"/>
    </row>
    <row r="49" spans="1:5" ht="18" x14ac:dyDescent="0.55000000000000004">
      <c r="A49"/>
      <c r="B49"/>
      <c r="C49"/>
      <c r="D49"/>
      <c r="E49"/>
    </row>
    <row r="50" spans="1:5" ht="18" x14ac:dyDescent="0.55000000000000004">
      <c r="A50"/>
      <c r="B50"/>
      <c r="C50"/>
      <c r="D50"/>
      <c r="E50"/>
    </row>
    <row r="51" spans="1:5" ht="18" x14ac:dyDescent="0.55000000000000004">
      <c r="A51"/>
      <c r="B51"/>
      <c r="C51"/>
      <c r="D51"/>
      <c r="E51"/>
    </row>
    <row r="52" spans="1:5" ht="18" x14ac:dyDescent="0.55000000000000004">
      <c r="A52"/>
      <c r="B52"/>
      <c r="C52"/>
      <c r="D52"/>
      <c r="E52"/>
    </row>
    <row r="53" spans="1:5" ht="18" x14ac:dyDescent="0.55000000000000004">
      <c r="A53"/>
      <c r="B53"/>
      <c r="C53"/>
      <c r="D53"/>
      <c r="E53"/>
    </row>
    <row r="54" spans="1:5" ht="18" x14ac:dyDescent="0.55000000000000004">
      <c r="A54"/>
      <c r="B54"/>
      <c r="C54"/>
      <c r="D54"/>
      <c r="E54"/>
    </row>
    <row r="55" spans="1:5" ht="18" x14ac:dyDescent="0.55000000000000004">
      <c r="A55"/>
      <c r="B55"/>
      <c r="C55"/>
      <c r="D55"/>
      <c r="E55"/>
    </row>
    <row r="56" spans="1:5" ht="18" x14ac:dyDescent="0.55000000000000004">
      <c r="A56"/>
      <c r="B56"/>
      <c r="C56"/>
      <c r="D56"/>
      <c r="E56"/>
    </row>
    <row r="57" spans="1:5" ht="18" x14ac:dyDescent="0.55000000000000004">
      <c r="A57"/>
      <c r="B57"/>
      <c r="C57"/>
      <c r="D57"/>
      <c r="E57"/>
    </row>
    <row r="58" spans="1:5" ht="18" x14ac:dyDescent="0.55000000000000004">
      <c r="A58"/>
      <c r="B58"/>
      <c r="C58"/>
      <c r="D58"/>
      <c r="E58"/>
    </row>
    <row r="59" spans="1:5" ht="18" x14ac:dyDescent="0.55000000000000004">
      <c r="A59"/>
      <c r="B59"/>
      <c r="C59"/>
      <c r="D59"/>
      <c r="E59"/>
    </row>
    <row r="60" spans="1:5" ht="18" x14ac:dyDescent="0.55000000000000004">
      <c r="A60"/>
      <c r="B60"/>
      <c r="C60"/>
      <c r="D60"/>
      <c r="E60"/>
    </row>
    <row r="61" spans="1:5" ht="18" x14ac:dyDescent="0.55000000000000004">
      <c r="A61"/>
      <c r="B61"/>
      <c r="C61"/>
      <c r="D61"/>
      <c r="E61"/>
    </row>
    <row r="62" spans="1:5" ht="18" x14ac:dyDescent="0.55000000000000004">
      <c r="A62"/>
      <c r="B62"/>
      <c r="C62"/>
      <c r="D62"/>
      <c r="E62"/>
    </row>
    <row r="63" spans="1:5" ht="18" x14ac:dyDescent="0.55000000000000004">
      <c r="A63"/>
      <c r="B63"/>
      <c r="C63"/>
      <c r="D63"/>
      <c r="E63"/>
    </row>
    <row r="64" spans="1:5" ht="18" x14ac:dyDescent="0.55000000000000004">
      <c r="A64"/>
      <c r="B64"/>
      <c r="C64"/>
      <c r="D64"/>
      <c r="E64"/>
    </row>
    <row r="65" spans="1:5" ht="18" x14ac:dyDescent="0.55000000000000004">
      <c r="A65"/>
      <c r="B65"/>
      <c r="C65"/>
      <c r="D65"/>
      <c r="E65"/>
    </row>
    <row r="66" spans="1:5" ht="18" x14ac:dyDescent="0.55000000000000004">
      <c r="A66"/>
      <c r="B66"/>
      <c r="C66"/>
      <c r="D66"/>
      <c r="E66"/>
    </row>
    <row r="67" spans="1:5" ht="18" x14ac:dyDescent="0.55000000000000004">
      <c r="A67"/>
      <c r="B67"/>
      <c r="C67"/>
      <c r="D67"/>
      <c r="E67"/>
    </row>
    <row r="68" spans="1:5" ht="18" x14ac:dyDescent="0.55000000000000004">
      <c r="A68"/>
      <c r="B68"/>
      <c r="C68"/>
      <c r="D68"/>
      <c r="E68"/>
    </row>
    <row r="69" spans="1:5" ht="18" x14ac:dyDescent="0.55000000000000004">
      <c r="A69"/>
      <c r="B69"/>
      <c r="C69"/>
      <c r="D69"/>
      <c r="E69"/>
    </row>
    <row r="70" spans="1:5" ht="18" x14ac:dyDescent="0.55000000000000004">
      <c r="A70"/>
      <c r="B70"/>
      <c r="C70"/>
      <c r="D70"/>
      <c r="E70"/>
    </row>
    <row r="71" spans="1:5" ht="18" x14ac:dyDescent="0.55000000000000004">
      <c r="A71"/>
      <c r="B71"/>
      <c r="C71"/>
      <c r="D71"/>
      <c r="E71"/>
    </row>
    <row r="72" spans="1:5" ht="18" x14ac:dyDescent="0.55000000000000004">
      <c r="A72"/>
      <c r="B72"/>
      <c r="C72"/>
      <c r="D72"/>
      <c r="E72"/>
    </row>
    <row r="73" spans="1:5" ht="18" x14ac:dyDescent="0.55000000000000004">
      <c r="A73"/>
      <c r="B73"/>
      <c r="C73"/>
      <c r="D73"/>
      <c r="E73"/>
    </row>
    <row r="74" spans="1:5" ht="18" x14ac:dyDescent="0.55000000000000004">
      <c r="A74"/>
      <c r="B74"/>
      <c r="C74"/>
      <c r="D74"/>
      <c r="E74"/>
    </row>
    <row r="75" spans="1:5" ht="18" x14ac:dyDescent="0.55000000000000004">
      <c r="A75"/>
      <c r="B75"/>
      <c r="C75"/>
      <c r="D75"/>
      <c r="E75"/>
    </row>
    <row r="76" spans="1:5" ht="18" x14ac:dyDescent="0.55000000000000004">
      <c r="A76"/>
      <c r="B76"/>
      <c r="C76"/>
      <c r="D76"/>
      <c r="E76"/>
    </row>
    <row r="77" spans="1:5" ht="18" x14ac:dyDescent="0.55000000000000004">
      <c r="A77"/>
      <c r="B77"/>
      <c r="C77"/>
      <c r="D77"/>
      <c r="E77"/>
    </row>
    <row r="78" spans="1:5" ht="18" x14ac:dyDescent="0.55000000000000004">
      <c r="A78"/>
      <c r="B78"/>
      <c r="C78"/>
      <c r="D78"/>
      <c r="E78"/>
    </row>
    <row r="79" spans="1:5" ht="18" x14ac:dyDescent="0.55000000000000004">
      <c r="A79"/>
      <c r="B79"/>
      <c r="C79"/>
      <c r="D79"/>
      <c r="E79"/>
    </row>
    <row r="80" spans="1:5" ht="18" x14ac:dyDescent="0.55000000000000004">
      <c r="A80"/>
      <c r="B80"/>
      <c r="C80"/>
      <c r="D80"/>
      <c r="E80"/>
    </row>
    <row r="81" spans="1:5" ht="18" x14ac:dyDescent="0.55000000000000004">
      <c r="A81"/>
      <c r="B81"/>
      <c r="C81"/>
      <c r="D81"/>
      <c r="E81"/>
    </row>
    <row r="82" spans="1:5" ht="18" x14ac:dyDescent="0.55000000000000004">
      <c r="A82"/>
      <c r="B82"/>
      <c r="C82"/>
      <c r="D82"/>
      <c r="E82"/>
    </row>
    <row r="83" spans="1:5" ht="18" x14ac:dyDescent="0.55000000000000004">
      <c r="A83"/>
      <c r="B83"/>
      <c r="C83"/>
      <c r="D83"/>
      <c r="E83"/>
    </row>
    <row r="84" spans="1:5" ht="18" x14ac:dyDescent="0.55000000000000004">
      <c r="A84"/>
      <c r="B84"/>
      <c r="C84"/>
      <c r="D84"/>
      <c r="E84"/>
    </row>
    <row r="85" spans="1:5" ht="18" x14ac:dyDescent="0.55000000000000004">
      <c r="A85"/>
      <c r="B85"/>
      <c r="C85"/>
      <c r="D85"/>
      <c r="E85"/>
    </row>
    <row r="86" spans="1:5" ht="18" x14ac:dyDescent="0.55000000000000004">
      <c r="A86"/>
      <c r="B86"/>
      <c r="C86"/>
      <c r="D86"/>
      <c r="E86"/>
    </row>
    <row r="87" spans="1:5" ht="18" x14ac:dyDescent="0.55000000000000004">
      <c r="A87"/>
      <c r="B87"/>
      <c r="C87"/>
      <c r="D87"/>
      <c r="E87"/>
    </row>
    <row r="88" spans="1:5" ht="18" x14ac:dyDescent="0.55000000000000004">
      <c r="A88"/>
      <c r="B88"/>
      <c r="C88"/>
      <c r="D88"/>
      <c r="E88"/>
    </row>
    <row r="89" spans="1:5" ht="18" x14ac:dyDescent="0.55000000000000004">
      <c r="A89"/>
      <c r="B89"/>
      <c r="C89"/>
      <c r="D89"/>
      <c r="E89"/>
    </row>
    <row r="90" spans="1:5" ht="18" x14ac:dyDescent="0.55000000000000004">
      <c r="A90"/>
      <c r="B90"/>
      <c r="C90"/>
      <c r="D90"/>
      <c r="E90"/>
    </row>
    <row r="91" spans="1:5" ht="18" x14ac:dyDescent="0.55000000000000004">
      <c r="A91"/>
      <c r="B91"/>
      <c r="C91"/>
      <c r="D91"/>
      <c r="E91"/>
    </row>
    <row r="92" spans="1:5" ht="18" x14ac:dyDescent="0.55000000000000004">
      <c r="A92"/>
      <c r="B92"/>
      <c r="C92"/>
      <c r="D92"/>
      <c r="E92"/>
    </row>
    <row r="93" spans="1:5" ht="18" x14ac:dyDescent="0.55000000000000004">
      <c r="A93"/>
      <c r="B93"/>
      <c r="C93"/>
      <c r="D93"/>
      <c r="E93"/>
    </row>
    <row r="94" spans="1:5" ht="18" x14ac:dyDescent="0.55000000000000004">
      <c r="A94"/>
      <c r="B94"/>
      <c r="C94"/>
      <c r="D94"/>
      <c r="E94"/>
    </row>
    <row r="95" spans="1:5" ht="18" x14ac:dyDescent="0.55000000000000004">
      <c r="A95"/>
      <c r="B95"/>
      <c r="C95"/>
      <c r="D95"/>
      <c r="E95"/>
    </row>
    <row r="96" spans="1:5" ht="18" x14ac:dyDescent="0.55000000000000004">
      <c r="A96"/>
      <c r="B96"/>
      <c r="C96"/>
      <c r="D96"/>
      <c r="E96"/>
    </row>
    <row r="97" spans="1:5" ht="18" x14ac:dyDescent="0.55000000000000004">
      <c r="A97"/>
      <c r="B97"/>
      <c r="C97"/>
      <c r="D97"/>
      <c r="E97"/>
    </row>
    <row r="98" spans="1:5" ht="18" x14ac:dyDescent="0.55000000000000004">
      <c r="A98"/>
      <c r="B98"/>
      <c r="C98"/>
      <c r="D98"/>
      <c r="E98"/>
    </row>
    <row r="99" spans="1:5" ht="18" x14ac:dyDescent="0.55000000000000004">
      <c r="A99"/>
      <c r="B99"/>
      <c r="C99"/>
      <c r="D99"/>
      <c r="E99"/>
    </row>
    <row r="100" spans="1:5" ht="18" x14ac:dyDescent="0.55000000000000004">
      <c r="A100"/>
      <c r="B100"/>
      <c r="C100"/>
      <c r="D100"/>
      <c r="E100"/>
    </row>
    <row r="101" spans="1:5" ht="18" x14ac:dyDescent="0.55000000000000004">
      <c r="A101"/>
      <c r="B101"/>
      <c r="C101"/>
      <c r="D101"/>
      <c r="E101"/>
    </row>
    <row r="102" spans="1:5" ht="18" x14ac:dyDescent="0.55000000000000004">
      <c r="A102"/>
      <c r="B102"/>
      <c r="C102"/>
      <c r="D102"/>
      <c r="E102"/>
    </row>
    <row r="103" spans="1:5" ht="18" x14ac:dyDescent="0.55000000000000004">
      <c r="A103"/>
      <c r="B103"/>
      <c r="C103"/>
      <c r="D103"/>
      <c r="E103"/>
    </row>
    <row r="104" spans="1:5" ht="18" x14ac:dyDescent="0.55000000000000004">
      <c r="A104"/>
      <c r="B104"/>
      <c r="C104"/>
      <c r="D104"/>
      <c r="E104"/>
    </row>
    <row r="105" spans="1:5" ht="18" x14ac:dyDescent="0.55000000000000004">
      <c r="A105"/>
      <c r="B105"/>
      <c r="C105"/>
      <c r="D105"/>
      <c r="E105"/>
    </row>
    <row r="106" spans="1:5" ht="18" x14ac:dyDescent="0.55000000000000004">
      <c r="A106"/>
      <c r="B106"/>
      <c r="C106"/>
      <c r="D106"/>
      <c r="E106"/>
    </row>
    <row r="107" spans="1:5" ht="18" x14ac:dyDescent="0.55000000000000004">
      <c r="A107"/>
      <c r="B107"/>
      <c r="C107"/>
      <c r="D107"/>
      <c r="E107"/>
    </row>
    <row r="108" spans="1:5" ht="18" x14ac:dyDescent="0.55000000000000004">
      <c r="A108"/>
      <c r="B108"/>
      <c r="C108"/>
      <c r="D108"/>
      <c r="E108"/>
    </row>
    <row r="109" spans="1:5" ht="18" x14ac:dyDescent="0.55000000000000004">
      <c r="A109"/>
      <c r="B109"/>
      <c r="C109"/>
      <c r="D109"/>
      <c r="E109"/>
    </row>
    <row r="110" spans="1:5" ht="18" x14ac:dyDescent="0.55000000000000004">
      <c r="A110"/>
      <c r="B110"/>
      <c r="C110"/>
      <c r="D110"/>
      <c r="E110"/>
    </row>
    <row r="111" spans="1:5" ht="18" x14ac:dyDescent="0.55000000000000004">
      <c r="A111"/>
      <c r="B111"/>
      <c r="C111"/>
      <c r="D111"/>
      <c r="E111"/>
    </row>
    <row r="112" spans="1:5" ht="18" x14ac:dyDescent="0.55000000000000004">
      <c r="A112"/>
      <c r="B112"/>
      <c r="C112"/>
      <c r="D112"/>
      <c r="E112"/>
    </row>
    <row r="113" spans="1:5" ht="18" x14ac:dyDescent="0.55000000000000004">
      <c r="A113"/>
      <c r="B113"/>
      <c r="C113"/>
      <c r="D113"/>
      <c r="E113"/>
    </row>
    <row r="114" spans="1:5" ht="18" x14ac:dyDescent="0.55000000000000004">
      <c r="A114"/>
      <c r="B114"/>
      <c r="C114"/>
      <c r="D114"/>
      <c r="E114"/>
    </row>
    <row r="115" spans="1:5" ht="18" x14ac:dyDescent="0.55000000000000004">
      <c r="A115"/>
      <c r="B115"/>
      <c r="C115"/>
      <c r="D115"/>
      <c r="E115"/>
    </row>
    <row r="116" spans="1:5" ht="18" x14ac:dyDescent="0.55000000000000004">
      <c r="A116"/>
      <c r="B116"/>
      <c r="C116"/>
      <c r="D116"/>
      <c r="E116"/>
    </row>
    <row r="117" spans="1:5" ht="18" x14ac:dyDescent="0.55000000000000004">
      <c r="A117"/>
      <c r="B117"/>
      <c r="C117"/>
      <c r="D117"/>
      <c r="E117"/>
    </row>
    <row r="118" spans="1:5" ht="18" x14ac:dyDescent="0.55000000000000004">
      <c r="A118"/>
      <c r="B118"/>
      <c r="C118"/>
      <c r="D118"/>
      <c r="E118"/>
    </row>
    <row r="119" spans="1:5" ht="18" x14ac:dyDescent="0.55000000000000004">
      <c r="A119"/>
      <c r="B119"/>
      <c r="C119"/>
      <c r="D119"/>
      <c r="E119"/>
    </row>
    <row r="120" spans="1:5" ht="18" x14ac:dyDescent="0.55000000000000004">
      <c r="A120"/>
      <c r="B120"/>
      <c r="C120"/>
      <c r="D120"/>
      <c r="E120"/>
    </row>
    <row r="121" spans="1:5" ht="18" x14ac:dyDescent="0.55000000000000004">
      <c r="A121"/>
      <c r="B121"/>
      <c r="C121"/>
      <c r="D121"/>
      <c r="E121"/>
    </row>
    <row r="122" spans="1:5" ht="18" x14ac:dyDescent="0.55000000000000004">
      <c r="A122"/>
      <c r="B122"/>
      <c r="C122"/>
      <c r="D122"/>
      <c r="E122"/>
    </row>
    <row r="123" spans="1:5" ht="18" x14ac:dyDescent="0.55000000000000004">
      <c r="A123"/>
      <c r="B123"/>
      <c r="C123"/>
      <c r="D123"/>
      <c r="E123"/>
    </row>
    <row r="124" spans="1:5" ht="18" x14ac:dyDescent="0.55000000000000004">
      <c r="A124"/>
      <c r="B124"/>
      <c r="C124"/>
      <c r="D124"/>
      <c r="E124"/>
    </row>
    <row r="125" spans="1:5" ht="18" x14ac:dyDescent="0.55000000000000004">
      <c r="A125"/>
      <c r="B125"/>
      <c r="C125"/>
      <c r="D125"/>
      <c r="E125"/>
    </row>
    <row r="126" spans="1:5" ht="18" x14ac:dyDescent="0.55000000000000004">
      <c r="A126"/>
      <c r="B126"/>
      <c r="C126"/>
      <c r="D126"/>
      <c r="E126"/>
    </row>
    <row r="127" spans="1:5" ht="18" x14ac:dyDescent="0.55000000000000004">
      <c r="A127"/>
      <c r="B127"/>
      <c r="C127"/>
      <c r="D127"/>
      <c r="E127"/>
    </row>
    <row r="128" spans="1:5" ht="18" x14ac:dyDescent="0.55000000000000004">
      <c r="A128"/>
      <c r="B128"/>
      <c r="C128"/>
      <c r="D128"/>
      <c r="E128"/>
    </row>
    <row r="129" spans="1:5" ht="18" x14ac:dyDescent="0.55000000000000004">
      <c r="A129"/>
      <c r="B129"/>
      <c r="C129"/>
      <c r="D129"/>
      <c r="E129"/>
    </row>
    <row r="130" spans="1:5" ht="18" x14ac:dyDescent="0.55000000000000004">
      <c r="A130"/>
      <c r="B130"/>
      <c r="C130"/>
      <c r="D130"/>
      <c r="E130"/>
    </row>
    <row r="131" spans="1:5" ht="18" x14ac:dyDescent="0.55000000000000004">
      <c r="A131"/>
      <c r="B131"/>
      <c r="C131"/>
      <c r="D131"/>
      <c r="E131"/>
    </row>
    <row r="132" spans="1:5" ht="18" x14ac:dyDescent="0.55000000000000004">
      <c r="A132"/>
      <c r="B132"/>
      <c r="C132"/>
      <c r="D132"/>
      <c r="E132"/>
    </row>
    <row r="133" spans="1:5" ht="18" x14ac:dyDescent="0.55000000000000004">
      <c r="A133"/>
      <c r="B133"/>
      <c r="C133"/>
      <c r="D133"/>
      <c r="E133"/>
    </row>
    <row r="134" spans="1:5" ht="18" x14ac:dyDescent="0.55000000000000004">
      <c r="A134"/>
      <c r="B134"/>
      <c r="C134"/>
      <c r="D134"/>
      <c r="E134"/>
    </row>
    <row r="135" spans="1:5" ht="18" x14ac:dyDescent="0.55000000000000004">
      <c r="A135"/>
      <c r="B135"/>
      <c r="C135"/>
      <c r="D135"/>
      <c r="E135"/>
    </row>
    <row r="136" spans="1:5" ht="18" x14ac:dyDescent="0.55000000000000004">
      <c r="A136"/>
      <c r="B136"/>
      <c r="C136"/>
      <c r="D136"/>
      <c r="E136"/>
    </row>
    <row r="137" spans="1:5" ht="18" x14ac:dyDescent="0.55000000000000004">
      <c r="A137"/>
      <c r="B137"/>
      <c r="C137"/>
      <c r="D137"/>
      <c r="E137"/>
    </row>
    <row r="138" spans="1:5" ht="18" x14ac:dyDescent="0.55000000000000004">
      <c r="A138"/>
      <c r="B138"/>
      <c r="C138"/>
      <c r="D138"/>
      <c r="E138"/>
    </row>
    <row r="139" spans="1:5" ht="18" x14ac:dyDescent="0.55000000000000004">
      <c r="A139"/>
      <c r="B139"/>
      <c r="C139"/>
      <c r="D139"/>
      <c r="E139"/>
    </row>
    <row r="140" spans="1:5" ht="18" x14ac:dyDescent="0.55000000000000004">
      <c r="A140"/>
      <c r="B140"/>
      <c r="C140"/>
      <c r="D140"/>
      <c r="E140"/>
    </row>
    <row r="141" spans="1:5" ht="18" x14ac:dyDescent="0.55000000000000004">
      <c r="A141"/>
      <c r="B141"/>
      <c r="C141"/>
      <c r="D141"/>
      <c r="E141"/>
    </row>
    <row r="142" spans="1:5" ht="18" x14ac:dyDescent="0.55000000000000004">
      <c r="A142"/>
      <c r="B142"/>
      <c r="C142"/>
      <c r="D142"/>
      <c r="E142"/>
    </row>
    <row r="143" spans="1:5" ht="18" x14ac:dyDescent="0.55000000000000004">
      <c r="A143"/>
      <c r="B143"/>
      <c r="C143"/>
      <c r="D143"/>
      <c r="E143"/>
    </row>
    <row r="144" spans="1:5" ht="18" x14ac:dyDescent="0.55000000000000004">
      <c r="A144"/>
      <c r="B144"/>
      <c r="C144"/>
      <c r="D144"/>
      <c r="E144"/>
    </row>
    <row r="145" spans="1:5" ht="18" x14ac:dyDescent="0.55000000000000004">
      <c r="A145"/>
      <c r="B145"/>
      <c r="C145"/>
      <c r="D145"/>
      <c r="E145"/>
    </row>
    <row r="146" spans="1:5" ht="18" x14ac:dyDescent="0.55000000000000004">
      <c r="A146"/>
      <c r="B146"/>
      <c r="C146"/>
      <c r="D146"/>
      <c r="E146"/>
    </row>
    <row r="147" spans="1:5" ht="18" x14ac:dyDescent="0.55000000000000004">
      <c r="A147"/>
      <c r="B147"/>
      <c r="C147"/>
      <c r="D147"/>
      <c r="E147"/>
    </row>
    <row r="148" spans="1:5" ht="18" x14ac:dyDescent="0.55000000000000004">
      <c r="A148"/>
      <c r="B148"/>
      <c r="C148"/>
      <c r="D148"/>
      <c r="E148"/>
    </row>
    <row r="149" spans="1:5" ht="18" x14ac:dyDescent="0.55000000000000004">
      <c r="A149"/>
      <c r="B149"/>
      <c r="C149"/>
      <c r="D149"/>
      <c r="E149"/>
    </row>
    <row r="150" spans="1:5" ht="18" x14ac:dyDescent="0.55000000000000004">
      <c r="A150"/>
      <c r="B150"/>
      <c r="C150"/>
      <c r="D150"/>
      <c r="E150"/>
    </row>
    <row r="151" spans="1:5" ht="18" x14ac:dyDescent="0.55000000000000004">
      <c r="A151"/>
      <c r="B151"/>
      <c r="C151"/>
      <c r="D151"/>
      <c r="E151"/>
    </row>
    <row r="152" spans="1:5" ht="18" x14ac:dyDescent="0.55000000000000004">
      <c r="A152"/>
      <c r="B152"/>
      <c r="C152"/>
      <c r="D152"/>
      <c r="E152"/>
    </row>
    <row r="153" spans="1:5" ht="18" x14ac:dyDescent="0.55000000000000004">
      <c r="A153"/>
      <c r="B153"/>
      <c r="C153"/>
      <c r="D153"/>
      <c r="E153"/>
    </row>
    <row r="154" spans="1:5" ht="18" x14ac:dyDescent="0.55000000000000004">
      <c r="A154"/>
      <c r="B154"/>
      <c r="C154"/>
      <c r="D154"/>
      <c r="E154"/>
    </row>
    <row r="155" spans="1:5" ht="18" x14ac:dyDescent="0.55000000000000004">
      <c r="A155"/>
      <c r="B155"/>
      <c r="C155"/>
      <c r="D155"/>
      <c r="E155"/>
    </row>
    <row r="156" spans="1:5" ht="18" x14ac:dyDescent="0.55000000000000004">
      <c r="A156"/>
      <c r="B156"/>
      <c r="C156"/>
      <c r="D156"/>
      <c r="E156"/>
    </row>
    <row r="157" spans="1:5" ht="18" x14ac:dyDescent="0.55000000000000004">
      <c r="A157"/>
      <c r="B157"/>
      <c r="C157"/>
      <c r="D157"/>
      <c r="E157"/>
    </row>
    <row r="158" spans="1:5" ht="18" x14ac:dyDescent="0.55000000000000004">
      <c r="A158"/>
      <c r="B158"/>
      <c r="C158"/>
      <c r="D158"/>
      <c r="E158"/>
    </row>
    <row r="159" spans="1:5" ht="18" x14ac:dyDescent="0.55000000000000004">
      <c r="A159"/>
      <c r="B159"/>
      <c r="C159"/>
      <c r="D159"/>
      <c r="E159"/>
    </row>
    <row r="160" spans="1:5" ht="18" x14ac:dyDescent="0.55000000000000004">
      <c r="A160"/>
      <c r="B160"/>
      <c r="C160"/>
      <c r="D160"/>
      <c r="E160"/>
    </row>
    <row r="161" spans="1:5" ht="18" x14ac:dyDescent="0.55000000000000004">
      <c r="A161"/>
      <c r="B161"/>
      <c r="C161"/>
      <c r="D161"/>
      <c r="E161"/>
    </row>
    <row r="162" spans="1:5" ht="18" x14ac:dyDescent="0.55000000000000004">
      <c r="A162"/>
      <c r="B162"/>
      <c r="C162"/>
      <c r="D162"/>
      <c r="E162"/>
    </row>
    <row r="163" spans="1:5" ht="18" x14ac:dyDescent="0.55000000000000004">
      <c r="A163"/>
      <c r="B163"/>
      <c r="C163"/>
      <c r="D163"/>
      <c r="E163"/>
    </row>
    <row r="164" spans="1:5" ht="18" x14ac:dyDescent="0.55000000000000004">
      <c r="A164"/>
      <c r="B164"/>
      <c r="C164"/>
      <c r="D164"/>
      <c r="E164"/>
    </row>
    <row r="165" spans="1:5" ht="18" x14ac:dyDescent="0.55000000000000004">
      <c r="A165"/>
      <c r="B165"/>
      <c r="C165"/>
      <c r="D165"/>
      <c r="E165"/>
    </row>
    <row r="166" spans="1:5" ht="18" x14ac:dyDescent="0.55000000000000004">
      <c r="A166"/>
      <c r="B166"/>
      <c r="C166"/>
      <c r="D166"/>
      <c r="E166"/>
    </row>
    <row r="167" spans="1:5" ht="18" x14ac:dyDescent="0.55000000000000004">
      <c r="A167"/>
      <c r="B167"/>
      <c r="C167"/>
      <c r="D167"/>
      <c r="E167"/>
    </row>
    <row r="168" spans="1:5" ht="18" x14ac:dyDescent="0.55000000000000004">
      <c r="A168"/>
      <c r="B168"/>
      <c r="C168"/>
      <c r="D168"/>
      <c r="E168"/>
    </row>
    <row r="169" spans="1:5" ht="18" x14ac:dyDescent="0.55000000000000004">
      <c r="A169"/>
      <c r="B169"/>
      <c r="C169"/>
      <c r="D169"/>
      <c r="E169"/>
    </row>
    <row r="170" spans="1:5" ht="18" x14ac:dyDescent="0.55000000000000004">
      <c r="A170"/>
      <c r="B170"/>
      <c r="C170"/>
      <c r="D170"/>
      <c r="E170"/>
    </row>
    <row r="171" spans="1:5" ht="18" x14ac:dyDescent="0.55000000000000004">
      <c r="A171"/>
      <c r="B171"/>
      <c r="C171"/>
      <c r="D171"/>
      <c r="E171"/>
    </row>
    <row r="172" spans="1:5" ht="18" x14ac:dyDescent="0.55000000000000004">
      <c r="A172"/>
      <c r="B172"/>
      <c r="C172"/>
      <c r="D172"/>
      <c r="E172"/>
    </row>
    <row r="173" spans="1:5" ht="18" x14ac:dyDescent="0.55000000000000004">
      <c r="A173"/>
      <c r="B173"/>
      <c r="C173"/>
      <c r="D173"/>
      <c r="E173"/>
    </row>
    <row r="174" spans="1:5" ht="18" x14ac:dyDescent="0.55000000000000004">
      <c r="A174"/>
      <c r="B174"/>
      <c r="C174"/>
      <c r="D174"/>
      <c r="E174"/>
    </row>
    <row r="175" spans="1:5" ht="18" x14ac:dyDescent="0.55000000000000004">
      <c r="A175"/>
      <c r="B175"/>
      <c r="C175"/>
      <c r="D175"/>
      <c r="E175"/>
    </row>
    <row r="176" spans="1:5" ht="18" x14ac:dyDescent="0.55000000000000004">
      <c r="A176"/>
      <c r="B176"/>
      <c r="C176"/>
      <c r="D176"/>
      <c r="E176"/>
    </row>
    <row r="177" spans="1:5" ht="18" x14ac:dyDescent="0.55000000000000004">
      <c r="A177"/>
      <c r="B177"/>
      <c r="C177"/>
      <c r="D177"/>
      <c r="E177"/>
    </row>
    <row r="178" spans="1:5" ht="18" x14ac:dyDescent="0.55000000000000004">
      <c r="A178"/>
      <c r="B178"/>
      <c r="C178"/>
      <c r="D178"/>
      <c r="E178"/>
    </row>
    <row r="179" spans="1:5" ht="18" x14ac:dyDescent="0.55000000000000004">
      <c r="A179"/>
      <c r="B179"/>
      <c r="C179"/>
      <c r="D179"/>
      <c r="E179"/>
    </row>
    <row r="180" spans="1:5" ht="18" x14ac:dyDescent="0.55000000000000004">
      <c r="A180"/>
      <c r="B180"/>
      <c r="C180"/>
      <c r="D180"/>
      <c r="E180"/>
    </row>
    <row r="181" spans="1:5" ht="18" x14ac:dyDescent="0.55000000000000004">
      <c r="A181"/>
      <c r="B181"/>
      <c r="C181"/>
      <c r="D181"/>
      <c r="E181"/>
    </row>
    <row r="182" spans="1:5" ht="18" x14ac:dyDescent="0.55000000000000004">
      <c r="A182"/>
      <c r="B182"/>
      <c r="C182"/>
      <c r="D182"/>
      <c r="E182"/>
    </row>
    <row r="183" spans="1:5" ht="18" x14ac:dyDescent="0.55000000000000004">
      <c r="A183"/>
      <c r="B183"/>
      <c r="C183"/>
      <c r="D183"/>
      <c r="E183"/>
    </row>
    <row r="184" spans="1:5" ht="18" x14ac:dyDescent="0.55000000000000004">
      <c r="A184"/>
      <c r="B184"/>
      <c r="C184"/>
      <c r="D184"/>
      <c r="E184"/>
    </row>
    <row r="185" spans="1:5" ht="18" x14ac:dyDescent="0.55000000000000004">
      <c r="A185"/>
      <c r="B185"/>
      <c r="C185"/>
      <c r="D185"/>
      <c r="E185"/>
    </row>
    <row r="186" spans="1:5" ht="18" x14ac:dyDescent="0.55000000000000004">
      <c r="A186"/>
      <c r="B186"/>
      <c r="C186"/>
      <c r="D186"/>
      <c r="E186"/>
    </row>
    <row r="187" spans="1:5" ht="18" x14ac:dyDescent="0.55000000000000004">
      <c r="A187"/>
      <c r="B187"/>
      <c r="C187"/>
      <c r="D187"/>
      <c r="E187"/>
    </row>
    <row r="188" spans="1:5" ht="18" x14ac:dyDescent="0.55000000000000004">
      <c r="A188"/>
      <c r="B188"/>
      <c r="C188"/>
      <c r="D188"/>
      <c r="E188"/>
    </row>
    <row r="189" spans="1:5" ht="18" x14ac:dyDescent="0.55000000000000004">
      <c r="A189"/>
      <c r="B189"/>
      <c r="C189"/>
      <c r="D189"/>
      <c r="E189"/>
    </row>
    <row r="190" spans="1:5" ht="18" x14ac:dyDescent="0.55000000000000004">
      <c r="A190"/>
      <c r="B190"/>
      <c r="C190"/>
      <c r="D190"/>
      <c r="E190"/>
    </row>
    <row r="191" spans="1:5" ht="18" x14ac:dyDescent="0.55000000000000004">
      <c r="A191"/>
      <c r="B191"/>
      <c r="C191"/>
      <c r="D191"/>
      <c r="E191"/>
    </row>
    <row r="192" spans="1:5" ht="18" x14ac:dyDescent="0.55000000000000004">
      <c r="A192"/>
      <c r="B192"/>
      <c r="C192"/>
      <c r="D192"/>
      <c r="E192"/>
    </row>
    <row r="193" spans="1:5" ht="18" x14ac:dyDescent="0.55000000000000004">
      <c r="A193"/>
      <c r="B193"/>
      <c r="C193"/>
      <c r="D193"/>
      <c r="E193"/>
    </row>
    <row r="194" spans="1:5" ht="18" x14ac:dyDescent="0.55000000000000004">
      <c r="A194"/>
      <c r="B194"/>
      <c r="C194"/>
      <c r="D194"/>
      <c r="E194"/>
    </row>
    <row r="195" spans="1:5" ht="18" x14ac:dyDescent="0.55000000000000004">
      <c r="A195"/>
      <c r="B195"/>
      <c r="C195"/>
      <c r="D195"/>
      <c r="E195"/>
    </row>
    <row r="196" spans="1:5" ht="18" x14ac:dyDescent="0.55000000000000004">
      <c r="A196"/>
      <c r="B196"/>
      <c r="C196"/>
      <c r="D196"/>
      <c r="E196"/>
    </row>
    <row r="197" spans="1:5" ht="18" x14ac:dyDescent="0.55000000000000004">
      <c r="A197"/>
      <c r="B197"/>
      <c r="C197"/>
      <c r="D197"/>
      <c r="E197"/>
    </row>
    <row r="198" spans="1:5" ht="18" x14ac:dyDescent="0.55000000000000004">
      <c r="A198"/>
      <c r="B198"/>
      <c r="C198"/>
      <c r="D198"/>
      <c r="E198"/>
    </row>
    <row r="199" spans="1:5" ht="18" x14ac:dyDescent="0.55000000000000004">
      <c r="A199"/>
      <c r="B199"/>
      <c r="C199"/>
      <c r="D199"/>
      <c r="E199"/>
    </row>
    <row r="200" spans="1:5" ht="18" x14ac:dyDescent="0.55000000000000004">
      <c r="A200"/>
      <c r="B200"/>
      <c r="C200"/>
      <c r="D200"/>
      <c r="E200"/>
    </row>
    <row r="201" spans="1:5" ht="18" x14ac:dyDescent="0.55000000000000004">
      <c r="A201"/>
      <c r="B201"/>
      <c r="C201"/>
      <c r="D201"/>
      <c r="E201"/>
    </row>
    <row r="202" spans="1:5" ht="18" x14ac:dyDescent="0.55000000000000004">
      <c r="A202"/>
      <c r="B202"/>
      <c r="C202"/>
      <c r="D202"/>
      <c r="E202"/>
    </row>
    <row r="203" spans="1:5" ht="18" x14ac:dyDescent="0.55000000000000004">
      <c r="A203"/>
      <c r="B203"/>
      <c r="C203"/>
      <c r="D203"/>
      <c r="E203"/>
    </row>
    <row r="204" spans="1:5" ht="18" x14ac:dyDescent="0.55000000000000004">
      <c r="A204"/>
      <c r="B204"/>
      <c r="C204"/>
      <c r="D204"/>
      <c r="E204"/>
    </row>
    <row r="205" spans="1:5" ht="18" x14ac:dyDescent="0.55000000000000004">
      <c r="A205"/>
      <c r="B205"/>
      <c r="C205"/>
      <c r="D205"/>
      <c r="E205"/>
    </row>
    <row r="206" spans="1:5" ht="18" x14ac:dyDescent="0.55000000000000004">
      <c r="A206"/>
      <c r="B206"/>
      <c r="C206"/>
      <c r="D206"/>
      <c r="E206"/>
    </row>
    <row r="207" spans="1:5" ht="18" x14ac:dyDescent="0.55000000000000004">
      <c r="A207"/>
      <c r="B207"/>
      <c r="C207"/>
      <c r="D207"/>
      <c r="E207"/>
    </row>
    <row r="208" spans="1:5" ht="18" x14ac:dyDescent="0.55000000000000004">
      <c r="A208"/>
      <c r="B208"/>
      <c r="C208"/>
      <c r="D208"/>
      <c r="E208"/>
    </row>
    <row r="209" spans="1:5" ht="18" x14ac:dyDescent="0.55000000000000004">
      <c r="A209"/>
      <c r="B209"/>
      <c r="C209"/>
      <c r="D209"/>
      <c r="E209"/>
    </row>
    <row r="210" spans="1:5" ht="18" x14ac:dyDescent="0.55000000000000004">
      <c r="A210"/>
      <c r="B210"/>
      <c r="C210"/>
      <c r="D210"/>
      <c r="E210"/>
    </row>
    <row r="211" spans="1:5" ht="18" x14ac:dyDescent="0.55000000000000004">
      <c r="A211"/>
      <c r="B211"/>
      <c r="C211"/>
      <c r="D211"/>
      <c r="E211"/>
    </row>
    <row r="212" spans="1:5" ht="18" x14ac:dyDescent="0.55000000000000004">
      <c r="A212"/>
      <c r="B212"/>
      <c r="C212"/>
      <c r="D212"/>
      <c r="E212"/>
    </row>
    <row r="213" spans="1:5" ht="18" x14ac:dyDescent="0.55000000000000004">
      <c r="A213"/>
      <c r="B213"/>
      <c r="C213"/>
      <c r="D213"/>
      <c r="E213"/>
    </row>
    <row r="214" spans="1:5" ht="18" x14ac:dyDescent="0.55000000000000004">
      <c r="A214"/>
      <c r="B214"/>
      <c r="C214"/>
      <c r="D214"/>
      <c r="E214"/>
    </row>
    <row r="215" spans="1:5" ht="18" x14ac:dyDescent="0.55000000000000004">
      <c r="A215"/>
      <c r="B215"/>
      <c r="C215"/>
      <c r="D215"/>
      <c r="E215"/>
    </row>
    <row r="216" spans="1:5" ht="18" x14ac:dyDescent="0.55000000000000004">
      <c r="A216"/>
      <c r="B216"/>
      <c r="C216"/>
      <c r="D216"/>
      <c r="E216"/>
    </row>
    <row r="217" spans="1:5" ht="18" x14ac:dyDescent="0.55000000000000004">
      <c r="A217"/>
      <c r="B217"/>
      <c r="C217"/>
      <c r="D217"/>
      <c r="E217"/>
    </row>
    <row r="218" spans="1:5" ht="18" x14ac:dyDescent="0.55000000000000004">
      <c r="A218"/>
      <c r="B218"/>
      <c r="C218"/>
      <c r="D218"/>
      <c r="E218"/>
    </row>
    <row r="219" spans="1:5" ht="18" x14ac:dyDescent="0.55000000000000004">
      <c r="A219"/>
      <c r="B219"/>
      <c r="C219"/>
      <c r="D219"/>
      <c r="E219"/>
    </row>
    <row r="220" spans="1:5" ht="18" x14ac:dyDescent="0.55000000000000004">
      <c r="A220"/>
      <c r="B220"/>
      <c r="C220"/>
      <c r="D220"/>
      <c r="E220"/>
    </row>
    <row r="221" spans="1:5" ht="18" x14ac:dyDescent="0.55000000000000004">
      <c r="A221"/>
      <c r="B221"/>
      <c r="C221"/>
      <c r="D221"/>
      <c r="E221"/>
    </row>
    <row r="222" spans="1:5" ht="18" x14ac:dyDescent="0.55000000000000004">
      <c r="A222"/>
      <c r="B222"/>
      <c r="C222"/>
      <c r="D222"/>
      <c r="E222"/>
    </row>
    <row r="223" spans="1:5" ht="18" x14ac:dyDescent="0.55000000000000004">
      <c r="A223"/>
      <c r="B223"/>
      <c r="C223"/>
      <c r="D223"/>
      <c r="E223"/>
    </row>
    <row r="224" spans="1:5" ht="18" x14ac:dyDescent="0.55000000000000004">
      <c r="A224"/>
      <c r="B224"/>
      <c r="C224"/>
      <c r="D224"/>
      <c r="E224"/>
    </row>
    <row r="225" spans="1:5" ht="18" x14ac:dyDescent="0.55000000000000004">
      <c r="A225"/>
      <c r="B225"/>
      <c r="C225"/>
      <c r="D225"/>
      <c r="E225"/>
    </row>
    <row r="226" spans="1:5" ht="18" x14ac:dyDescent="0.55000000000000004">
      <c r="A226"/>
      <c r="B226"/>
      <c r="C226"/>
      <c r="D226"/>
      <c r="E226"/>
    </row>
    <row r="227" spans="1:5" ht="18" x14ac:dyDescent="0.55000000000000004">
      <c r="A227"/>
      <c r="B227"/>
      <c r="C227"/>
      <c r="D227"/>
      <c r="E227"/>
    </row>
    <row r="228" spans="1:5" ht="18" x14ac:dyDescent="0.55000000000000004">
      <c r="A228"/>
      <c r="B228"/>
      <c r="C228"/>
      <c r="D228"/>
      <c r="E228"/>
    </row>
    <row r="229" spans="1:5" ht="18" x14ac:dyDescent="0.55000000000000004">
      <c r="A229"/>
      <c r="B229"/>
      <c r="C229"/>
      <c r="D229"/>
      <c r="E229"/>
    </row>
    <row r="230" spans="1:5" ht="18" x14ac:dyDescent="0.55000000000000004">
      <c r="A230"/>
      <c r="B230"/>
      <c r="C230"/>
      <c r="D230"/>
      <c r="E230"/>
    </row>
    <row r="231" spans="1:5" ht="18" x14ac:dyDescent="0.55000000000000004">
      <c r="A231"/>
      <c r="B231"/>
      <c r="C231"/>
      <c r="D231"/>
      <c r="E231"/>
    </row>
    <row r="232" spans="1:5" ht="18" x14ac:dyDescent="0.55000000000000004">
      <c r="A232"/>
      <c r="B232"/>
      <c r="C232"/>
      <c r="D232"/>
      <c r="E232"/>
    </row>
    <row r="233" spans="1:5" ht="18" x14ac:dyDescent="0.55000000000000004">
      <c r="A233"/>
      <c r="B233"/>
      <c r="C233"/>
      <c r="D233"/>
      <c r="E233"/>
    </row>
    <row r="234" spans="1:5" ht="18" x14ac:dyDescent="0.55000000000000004">
      <c r="A234"/>
      <c r="B234"/>
      <c r="C234"/>
      <c r="D234"/>
      <c r="E234"/>
    </row>
    <row r="235" spans="1:5" ht="18" x14ac:dyDescent="0.55000000000000004">
      <c r="A235"/>
      <c r="B235"/>
      <c r="C235"/>
      <c r="D235"/>
      <c r="E235"/>
    </row>
    <row r="236" spans="1:5" ht="18" x14ac:dyDescent="0.55000000000000004">
      <c r="A236"/>
      <c r="B236"/>
      <c r="C236"/>
      <c r="D236"/>
      <c r="E236"/>
    </row>
    <row r="237" spans="1:5" ht="18" x14ac:dyDescent="0.55000000000000004">
      <c r="A237"/>
      <c r="B237"/>
      <c r="C237"/>
      <c r="D237"/>
      <c r="E237"/>
    </row>
    <row r="238" spans="1:5" ht="18" x14ac:dyDescent="0.55000000000000004">
      <c r="A238"/>
      <c r="B238"/>
      <c r="C238"/>
      <c r="D238"/>
      <c r="E238"/>
    </row>
    <row r="239" spans="1:5" ht="18" x14ac:dyDescent="0.55000000000000004">
      <c r="A239"/>
      <c r="B239"/>
      <c r="C239"/>
      <c r="D239"/>
      <c r="E239"/>
    </row>
    <row r="240" spans="1:5" ht="18" x14ac:dyDescent="0.55000000000000004">
      <c r="A240"/>
      <c r="B240"/>
      <c r="C240"/>
      <c r="D240"/>
      <c r="E240"/>
    </row>
    <row r="241" spans="1:5" ht="18" x14ac:dyDescent="0.55000000000000004">
      <c r="A241"/>
      <c r="B241"/>
      <c r="C241"/>
      <c r="D241"/>
      <c r="E241"/>
    </row>
    <row r="242" spans="1:5" ht="18" x14ac:dyDescent="0.55000000000000004">
      <c r="A242"/>
      <c r="B242"/>
      <c r="C242"/>
      <c r="D242"/>
      <c r="E242"/>
    </row>
    <row r="243" spans="1:5" ht="18" x14ac:dyDescent="0.55000000000000004">
      <c r="A243"/>
      <c r="B243"/>
      <c r="C243"/>
      <c r="D243"/>
      <c r="E243"/>
    </row>
    <row r="244" spans="1:5" ht="18" x14ac:dyDescent="0.55000000000000004">
      <c r="A244"/>
      <c r="B244"/>
      <c r="C244"/>
      <c r="D244"/>
      <c r="E244"/>
    </row>
    <row r="245" spans="1:5" ht="18" x14ac:dyDescent="0.55000000000000004">
      <c r="A245"/>
      <c r="B245"/>
      <c r="C245"/>
      <c r="D245"/>
      <c r="E245"/>
    </row>
    <row r="246" spans="1:5" ht="18" x14ac:dyDescent="0.55000000000000004">
      <c r="A246"/>
      <c r="B246"/>
      <c r="C246"/>
      <c r="D246"/>
      <c r="E246"/>
    </row>
    <row r="247" spans="1:5" ht="18" x14ac:dyDescent="0.55000000000000004">
      <c r="A247"/>
      <c r="B247"/>
      <c r="C247"/>
      <c r="D247"/>
      <c r="E247"/>
    </row>
    <row r="248" spans="1:5" ht="18" x14ac:dyDescent="0.55000000000000004">
      <c r="A248"/>
      <c r="B248"/>
      <c r="C248"/>
      <c r="D248"/>
      <c r="E248"/>
    </row>
    <row r="249" spans="1:5" ht="18" x14ac:dyDescent="0.55000000000000004">
      <c r="A249"/>
      <c r="B249"/>
      <c r="C249"/>
      <c r="D249"/>
      <c r="E249"/>
    </row>
    <row r="250" spans="1:5" ht="18" x14ac:dyDescent="0.55000000000000004">
      <c r="A250"/>
      <c r="B250"/>
      <c r="C250"/>
      <c r="D250"/>
      <c r="E250"/>
    </row>
    <row r="251" spans="1:5" ht="18" x14ac:dyDescent="0.55000000000000004">
      <c r="A251"/>
      <c r="B251"/>
      <c r="C251"/>
      <c r="D251"/>
      <c r="E251"/>
    </row>
    <row r="252" spans="1:5" ht="18" x14ac:dyDescent="0.55000000000000004">
      <c r="A252"/>
      <c r="B252"/>
      <c r="C252"/>
      <c r="D252"/>
      <c r="E252"/>
    </row>
    <row r="253" spans="1:5" ht="18" x14ac:dyDescent="0.55000000000000004">
      <c r="A253"/>
      <c r="B253"/>
      <c r="C253"/>
      <c r="D253"/>
      <c r="E253"/>
    </row>
    <row r="254" spans="1:5" ht="18" x14ac:dyDescent="0.55000000000000004">
      <c r="A254"/>
      <c r="B254"/>
      <c r="C254"/>
      <c r="D254"/>
      <c r="E254"/>
    </row>
    <row r="255" spans="1:5" ht="18" x14ac:dyDescent="0.55000000000000004">
      <c r="A255"/>
      <c r="B255"/>
      <c r="C255"/>
      <c r="D255"/>
      <c r="E255"/>
    </row>
    <row r="256" spans="1:5" ht="18" x14ac:dyDescent="0.55000000000000004">
      <c r="A256"/>
      <c r="B256"/>
      <c r="C256"/>
      <c r="D256"/>
      <c r="E256"/>
    </row>
    <row r="257" spans="1:5" ht="18" x14ac:dyDescent="0.55000000000000004">
      <c r="A257"/>
      <c r="B257"/>
      <c r="C257"/>
      <c r="D257"/>
      <c r="E257"/>
    </row>
    <row r="258" spans="1:5" ht="18" x14ac:dyDescent="0.55000000000000004">
      <c r="A258"/>
      <c r="B258"/>
      <c r="C258"/>
      <c r="D258"/>
      <c r="E258"/>
    </row>
    <row r="259" spans="1:5" ht="18" x14ac:dyDescent="0.55000000000000004">
      <c r="A259"/>
      <c r="B259"/>
      <c r="C259"/>
      <c r="D259"/>
      <c r="E259"/>
    </row>
    <row r="260" spans="1:5" ht="18" x14ac:dyDescent="0.55000000000000004">
      <c r="A260"/>
      <c r="B260"/>
      <c r="C260"/>
      <c r="D260"/>
      <c r="E260"/>
    </row>
    <row r="261" spans="1:5" ht="18" x14ac:dyDescent="0.55000000000000004">
      <c r="A261"/>
      <c r="B261"/>
      <c r="C261"/>
      <c r="D261"/>
      <c r="E261"/>
    </row>
    <row r="262" spans="1:5" ht="18" x14ac:dyDescent="0.55000000000000004">
      <c r="A262"/>
      <c r="B262"/>
      <c r="C262"/>
      <c r="D262"/>
      <c r="E262"/>
    </row>
    <row r="263" spans="1:5" ht="18" x14ac:dyDescent="0.55000000000000004">
      <c r="A263"/>
      <c r="B263"/>
      <c r="C263"/>
      <c r="D263"/>
      <c r="E263"/>
    </row>
    <row r="264" spans="1:5" ht="18" x14ac:dyDescent="0.55000000000000004">
      <c r="A264"/>
      <c r="B264"/>
      <c r="C264"/>
      <c r="D264"/>
      <c r="E264"/>
    </row>
    <row r="265" spans="1:5" ht="18" x14ac:dyDescent="0.55000000000000004">
      <c r="A265"/>
      <c r="B265"/>
      <c r="C265"/>
      <c r="D265"/>
      <c r="E265"/>
    </row>
    <row r="266" spans="1:5" ht="18" x14ac:dyDescent="0.55000000000000004">
      <c r="A266"/>
      <c r="B266"/>
      <c r="C266"/>
      <c r="D266"/>
      <c r="E266"/>
    </row>
    <row r="267" spans="1:5" ht="18" x14ac:dyDescent="0.55000000000000004">
      <c r="A267"/>
      <c r="B267"/>
      <c r="C267"/>
      <c r="D267"/>
      <c r="E267"/>
    </row>
    <row r="268" spans="1:5" ht="18" x14ac:dyDescent="0.55000000000000004">
      <c r="A268"/>
      <c r="B268"/>
      <c r="C268"/>
      <c r="D268"/>
      <c r="E268"/>
    </row>
    <row r="269" spans="1:5" ht="18" x14ac:dyDescent="0.55000000000000004">
      <c r="A269"/>
      <c r="B269"/>
      <c r="C269"/>
      <c r="D269"/>
      <c r="E269"/>
    </row>
    <row r="270" spans="1:5" ht="18" x14ac:dyDescent="0.55000000000000004">
      <c r="A270"/>
      <c r="B270"/>
      <c r="C270"/>
      <c r="D270"/>
      <c r="E270"/>
    </row>
    <row r="271" spans="1:5" ht="18" x14ac:dyDescent="0.55000000000000004">
      <c r="A271"/>
      <c r="B271"/>
      <c r="C271"/>
      <c r="D271"/>
      <c r="E271"/>
    </row>
    <row r="272" spans="1:5" ht="18" x14ac:dyDescent="0.55000000000000004">
      <c r="A272"/>
      <c r="B272"/>
      <c r="C272"/>
      <c r="D272"/>
      <c r="E272"/>
    </row>
    <row r="273" spans="1:5" ht="18" x14ac:dyDescent="0.55000000000000004">
      <c r="A273"/>
      <c r="B273"/>
      <c r="C273"/>
      <c r="D273"/>
      <c r="E273"/>
    </row>
    <row r="274" spans="1:5" ht="18" x14ac:dyDescent="0.55000000000000004">
      <c r="A274"/>
      <c r="B274"/>
      <c r="C274"/>
      <c r="D274"/>
      <c r="E274"/>
    </row>
    <row r="275" spans="1:5" ht="18" x14ac:dyDescent="0.55000000000000004">
      <c r="A275"/>
      <c r="B275"/>
      <c r="C275"/>
      <c r="D275"/>
      <c r="E275"/>
    </row>
    <row r="276" spans="1:5" ht="18" x14ac:dyDescent="0.55000000000000004">
      <c r="A276"/>
      <c r="B276"/>
      <c r="C276"/>
      <c r="D276"/>
      <c r="E276"/>
    </row>
    <row r="277" spans="1:5" ht="18" x14ac:dyDescent="0.55000000000000004">
      <c r="A277"/>
      <c r="B277"/>
      <c r="C277"/>
      <c r="D277"/>
      <c r="E277"/>
    </row>
    <row r="278" spans="1:5" ht="18" x14ac:dyDescent="0.55000000000000004">
      <c r="A278"/>
      <c r="B278"/>
      <c r="C278"/>
      <c r="D278"/>
      <c r="E278"/>
    </row>
    <row r="279" spans="1:5" ht="18" x14ac:dyDescent="0.55000000000000004">
      <c r="A279"/>
      <c r="B279"/>
      <c r="C279"/>
      <c r="D279"/>
      <c r="E279"/>
    </row>
    <row r="280" spans="1:5" ht="18" x14ac:dyDescent="0.55000000000000004">
      <c r="A280"/>
      <c r="B280"/>
      <c r="C280"/>
      <c r="D280"/>
      <c r="E280"/>
    </row>
    <row r="281" spans="1:5" ht="18" x14ac:dyDescent="0.55000000000000004">
      <c r="A281"/>
      <c r="B281"/>
      <c r="C281"/>
      <c r="D281"/>
      <c r="E281"/>
    </row>
    <row r="282" spans="1:5" ht="18" x14ac:dyDescent="0.55000000000000004">
      <c r="A282"/>
      <c r="B282"/>
      <c r="C282"/>
      <c r="D282"/>
      <c r="E282"/>
    </row>
    <row r="283" spans="1:5" ht="18" x14ac:dyDescent="0.55000000000000004">
      <c r="A283"/>
      <c r="B283"/>
      <c r="C283"/>
      <c r="D283"/>
      <c r="E283"/>
    </row>
    <row r="284" spans="1:5" ht="18" x14ac:dyDescent="0.55000000000000004">
      <c r="A284"/>
      <c r="B284"/>
      <c r="C284"/>
      <c r="D284"/>
      <c r="E284"/>
    </row>
    <row r="285" spans="1:5" ht="18" x14ac:dyDescent="0.55000000000000004">
      <c r="A285"/>
      <c r="B285"/>
      <c r="C285"/>
      <c r="D285"/>
      <c r="E285"/>
    </row>
    <row r="286" spans="1:5" ht="18" x14ac:dyDescent="0.55000000000000004">
      <c r="A286"/>
      <c r="B286"/>
      <c r="C286"/>
      <c r="D286"/>
      <c r="E286"/>
    </row>
    <row r="287" spans="1:5" ht="18" x14ac:dyDescent="0.55000000000000004">
      <c r="A287"/>
      <c r="B287"/>
      <c r="C287"/>
      <c r="D287"/>
      <c r="E287"/>
    </row>
    <row r="288" spans="1:5" ht="18" x14ac:dyDescent="0.55000000000000004">
      <c r="A288"/>
      <c r="B288"/>
      <c r="C288"/>
      <c r="D288"/>
      <c r="E288"/>
    </row>
    <row r="289" spans="1:5" ht="18" x14ac:dyDescent="0.55000000000000004">
      <c r="A289"/>
      <c r="B289"/>
      <c r="C289"/>
      <c r="D289"/>
      <c r="E289"/>
    </row>
    <row r="290" spans="1:5" ht="18" x14ac:dyDescent="0.55000000000000004">
      <c r="A290"/>
      <c r="B290"/>
      <c r="C290"/>
      <c r="D290"/>
      <c r="E290"/>
    </row>
    <row r="291" spans="1:5" ht="18" x14ac:dyDescent="0.55000000000000004">
      <c r="A291"/>
      <c r="B291"/>
      <c r="C291"/>
      <c r="D291"/>
      <c r="E291"/>
    </row>
    <row r="292" spans="1:5" ht="18" x14ac:dyDescent="0.55000000000000004">
      <c r="A292"/>
      <c r="B292"/>
      <c r="C292"/>
      <c r="D292"/>
      <c r="E292"/>
    </row>
    <row r="293" spans="1:5" ht="18" x14ac:dyDescent="0.55000000000000004">
      <c r="A293"/>
      <c r="B293"/>
      <c r="C293"/>
      <c r="D293"/>
      <c r="E293"/>
    </row>
    <row r="294" spans="1:5" ht="18" x14ac:dyDescent="0.55000000000000004">
      <c r="A294"/>
      <c r="B294"/>
      <c r="C294"/>
      <c r="D294"/>
      <c r="E294"/>
    </row>
    <row r="295" spans="1:5" ht="18" x14ac:dyDescent="0.55000000000000004">
      <c r="A295"/>
      <c r="B295"/>
      <c r="C295"/>
      <c r="D295"/>
      <c r="E295"/>
    </row>
    <row r="296" spans="1:5" ht="18" x14ac:dyDescent="0.55000000000000004">
      <c r="A296"/>
      <c r="B296"/>
      <c r="C296"/>
      <c r="D296"/>
      <c r="E296"/>
    </row>
    <row r="297" spans="1:5" ht="18" x14ac:dyDescent="0.55000000000000004">
      <c r="A297"/>
      <c r="B297"/>
      <c r="C297"/>
      <c r="D297"/>
      <c r="E297"/>
    </row>
    <row r="298" spans="1:5" ht="18" x14ac:dyDescent="0.55000000000000004">
      <c r="A298"/>
      <c r="B298"/>
      <c r="C298"/>
      <c r="D298"/>
      <c r="E298"/>
    </row>
    <row r="299" spans="1:5" ht="18" x14ac:dyDescent="0.55000000000000004">
      <c r="A299"/>
      <c r="B299"/>
      <c r="C299"/>
      <c r="D299"/>
      <c r="E299"/>
    </row>
    <row r="300" spans="1:5" ht="18" x14ac:dyDescent="0.55000000000000004">
      <c r="A300"/>
      <c r="B300"/>
      <c r="C300"/>
      <c r="D300"/>
      <c r="E300"/>
    </row>
    <row r="301" spans="1:5" ht="18" x14ac:dyDescent="0.55000000000000004">
      <c r="A301"/>
      <c r="B301"/>
      <c r="C301"/>
      <c r="D301"/>
      <c r="E301"/>
    </row>
    <row r="302" spans="1:5" ht="18" x14ac:dyDescent="0.55000000000000004">
      <c r="A302"/>
      <c r="B302"/>
      <c r="C302"/>
      <c r="D302"/>
      <c r="E302"/>
    </row>
    <row r="303" spans="1:5" ht="18" x14ac:dyDescent="0.55000000000000004">
      <c r="A303"/>
      <c r="B303"/>
      <c r="C303"/>
      <c r="D303"/>
      <c r="E303"/>
    </row>
    <row r="304" spans="1:5" ht="18" x14ac:dyDescent="0.55000000000000004">
      <c r="A304"/>
      <c r="B304"/>
      <c r="C304"/>
      <c r="D304"/>
      <c r="E304"/>
    </row>
    <row r="305" spans="1:5" ht="18" x14ac:dyDescent="0.55000000000000004">
      <c r="A305"/>
      <c r="B305"/>
      <c r="C305"/>
      <c r="D305"/>
      <c r="E305"/>
    </row>
    <row r="306" spans="1:5" ht="18" x14ac:dyDescent="0.55000000000000004">
      <c r="A306"/>
      <c r="B306"/>
      <c r="C306"/>
      <c r="D306"/>
      <c r="E306"/>
    </row>
    <row r="307" spans="1:5" ht="18" x14ac:dyDescent="0.55000000000000004">
      <c r="A307"/>
      <c r="B307"/>
      <c r="C307"/>
      <c r="D307"/>
      <c r="E307"/>
    </row>
    <row r="308" spans="1:5" ht="18" x14ac:dyDescent="0.55000000000000004">
      <c r="A308"/>
      <c r="B308"/>
      <c r="C308"/>
      <c r="D308"/>
      <c r="E308"/>
    </row>
    <row r="309" spans="1:5" ht="18" x14ac:dyDescent="0.55000000000000004">
      <c r="A309"/>
      <c r="B309"/>
      <c r="C309"/>
      <c r="D309"/>
      <c r="E309"/>
    </row>
    <row r="310" spans="1:5" ht="18" x14ac:dyDescent="0.55000000000000004">
      <c r="A310"/>
      <c r="B310"/>
      <c r="C310"/>
      <c r="D310"/>
      <c r="E310"/>
    </row>
    <row r="311" spans="1:5" ht="18" x14ac:dyDescent="0.55000000000000004">
      <c r="A311"/>
      <c r="B311"/>
      <c r="C311"/>
      <c r="D311"/>
      <c r="E311"/>
    </row>
    <row r="312" spans="1:5" ht="18" x14ac:dyDescent="0.55000000000000004">
      <c r="A312"/>
      <c r="B312"/>
      <c r="C312"/>
      <c r="D312"/>
      <c r="E312"/>
    </row>
    <row r="313" spans="1:5" ht="18" x14ac:dyDescent="0.55000000000000004">
      <c r="A313"/>
      <c r="B313"/>
      <c r="C313"/>
      <c r="D313"/>
      <c r="E313"/>
    </row>
    <row r="314" spans="1:5" ht="18" x14ac:dyDescent="0.55000000000000004">
      <c r="A314"/>
      <c r="B314"/>
      <c r="C314"/>
      <c r="D314"/>
      <c r="E314"/>
    </row>
    <row r="315" spans="1:5" ht="18" x14ac:dyDescent="0.55000000000000004">
      <c r="A315"/>
      <c r="B315"/>
      <c r="C315"/>
      <c r="D315"/>
      <c r="E315"/>
    </row>
    <row r="316" spans="1:5" ht="18" x14ac:dyDescent="0.55000000000000004">
      <c r="A316"/>
      <c r="B316"/>
      <c r="C316"/>
      <c r="D316"/>
      <c r="E316"/>
    </row>
    <row r="317" spans="1:5" ht="18" x14ac:dyDescent="0.55000000000000004">
      <c r="A317"/>
      <c r="B317"/>
      <c r="C317"/>
      <c r="D317"/>
      <c r="E317"/>
    </row>
    <row r="318" spans="1:5" ht="18" x14ac:dyDescent="0.55000000000000004">
      <c r="A318"/>
      <c r="B318"/>
      <c r="C318"/>
      <c r="D318"/>
      <c r="E318"/>
    </row>
    <row r="319" spans="1:5" ht="18" x14ac:dyDescent="0.55000000000000004">
      <c r="A319"/>
      <c r="B319"/>
      <c r="C319"/>
      <c r="D319"/>
      <c r="E319"/>
    </row>
    <row r="320" spans="1:5" ht="18" x14ac:dyDescent="0.55000000000000004">
      <c r="A320"/>
      <c r="B320"/>
      <c r="C320"/>
      <c r="D320"/>
      <c r="E320"/>
    </row>
    <row r="321" spans="1:5" ht="18" x14ac:dyDescent="0.55000000000000004">
      <c r="A321"/>
      <c r="B321"/>
      <c r="C321"/>
      <c r="D321"/>
      <c r="E321"/>
    </row>
    <row r="322" spans="1:5" ht="18" x14ac:dyDescent="0.55000000000000004">
      <c r="A322"/>
      <c r="B322"/>
      <c r="C322"/>
      <c r="D322"/>
      <c r="E322"/>
    </row>
    <row r="323" spans="1:5" ht="18" x14ac:dyDescent="0.55000000000000004">
      <c r="A323"/>
      <c r="B323"/>
      <c r="C323"/>
      <c r="D323"/>
      <c r="E323"/>
    </row>
    <row r="324" spans="1:5" ht="18" x14ac:dyDescent="0.55000000000000004">
      <c r="A324"/>
      <c r="B324"/>
      <c r="C324"/>
      <c r="D324"/>
      <c r="E324"/>
    </row>
    <row r="325" spans="1:5" ht="18" x14ac:dyDescent="0.55000000000000004">
      <c r="A325"/>
      <c r="B325"/>
      <c r="C325"/>
      <c r="D325"/>
      <c r="E325"/>
    </row>
    <row r="326" spans="1:5" ht="18" x14ac:dyDescent="0.55000000000000004">
      <c r="A326"/>
      <c r="B326"/>
      <c r="C326"/>
      <c r="D326"/>
      <c r="E326"/>
    </row>
    <row r="327" spans="1:5" ht="18" x14ac:dyDescent="0.55000000000000004">
      <c r="A327"/>
      <c r="B327"/>
      <c r="C327"/>
      <c r="D327"/>
      <c r="E327"/>
    </row>
    <row r="328" spans="1:5" ht="18" x14ac:dyDescent="0.55000000000000004">
      <c r="A328"/>
      <c r="B328"/>
      <c r="C328"/>
      <c r="D328"/>
      <c r="E328"/>
    </row>
    <row r="329" spans="1:5" ht="18" x14ac:dyDescent="0.55000000000000004">
      <c r="A329"/>
      <c r="B329"/>
      <c r="C329"/>
      <c r="D329"/>
      <c r="E329"/>
    </row>
    <row r="330" spans="1:5" ht="18" x14ac:dyDescent="0.55000000000000004">
      <c r="A330"/>
      <c r="B330"/>
      <c r="C330"/>
      <c r="D330"/>
      <c r="E330"/>
    </row>
    <row r="331" spans="1:5" ht="18" x14ac:dyDescent="0.55000000000000004">
      <c r="A331"/>
      <c r="B331"/>
      <c r="C331"/>
      <c r="D331"/>
      <c r="E331"/>
    </row>
    <row r="332" spans="1:5" ht="18" x14ac:dyDescent="0.55000000000000004">
      <c r="A332"/>
      <c r="B332"/>
      <c r="C332"/>
      <c r="D332"/>
      <c r="E332"/>
    </row>
    <row r="333" spans="1:5" ht="18" x14ac:dyDescent="0.55000000000000004">
      <c r="A333"/>
      <c r="B333"/>
      <c r="C333"/>
      <c r="D333"/>
      <c r="E333"/>
    </row>
    <row r="334" spans="1:5" ht="18" x14ac:dyDescent="0.55000000000000004">
      <c r="A334"/>
      <c r="B334"/>
      <c r="C334"/>
      <c r="D334"/>
      <c r="E334"/>
    </row>
    <row r="335" spans="1:5" ht="18" x14ac:dyDescent="0.55000000000000004">
      <c r="A335"/>
      <c r="B335"/>
      <c r="C335"/>
      <c r="D335"/>
      <c r="E335"/>
    </row>
    <row r="336" spans="1:5" ht="18" x14ac:dyDescent="0.55000000000000004">
      <c r="A336"/>
      <c r="B336"/>
      <c r="C336"/>
      <c r="D336"/>
      <c r="E336"/>
    </row>
    <row r="337" spans="1:5" ht="18" x14ac:dyDescent="0.55000000000000004">
      <c r="A337"/>
      <c r="B337"/>
      <c r="C337"/>
      <c r="D337"/>
      <c r="E337"/>
    </row>
    <row r="338" spans="1:5" ht="18" x14ac:dyDescent="0.55000000000000004">
      <c r="A338"/>
      <c r="B338"/>
      <c r="C338"/>
      <c r="D338"/>
      <c r="E338"/>
    </row>
    <row r="339" spans="1:5" ht="18" x14ac:dyDescent="0.55000000000000004">
      <c r="A339"/>
      <c r="B339"/>
      <c r="C339"/>
      <c r="D339"/>
      <c r="E339"/>
    </row>
    <row r="340" spans="1:5" ht="18" x14ac:dyDescent="0.55000000000000004">
      <c r="A340"/>
      <c r="B340"/>
      <c r="C340"/>
      <c r="D340"/>
      <c r="E340"/>
    </row>
    <row r="341" spans="1:5" ht="18" x14ac:dyDescent="0.55000000000000004">
      <c r="A341"/>
      <c r="B341"/>
      <c r="C341"/>
      <c r="D341"/>
      <c r="E341"/>
    </row>
    <row r="342" spans="1:5" ht="18" x14ac:dyDescent="0.55000000000000004">
      <c r="A342"/>
      <c r="B342"/>
      <c r="C342"/>
      <c r="D342"/>
      <c r="E342"/>
    </row>
    <row r="343" spans="1:5" ht="18" x14ac:dyDescent="0.55000000000000004">
      <c r="A343"/>
      <c r="B343"/>
      <c r="C343"/>
      <c r="D343"/>
      <c r="E343"/>
    </row>
    <row r="344" spans="1:5" ht="18" x14ac:dyDescent="0.55000000000000004">
      <c r="A344"/>
      <c r="B344"/>
      <c r="C344"/>
      <c r="D344"/>
      <c r="E344"/>
    </row>
    <row r="345" spans="1:5" ht="18" x14ac:dyDescent="0.55000000000000004">
      <c r="A345"/>
      <c r="B345"/>
      <c r="C345"/>
      <c r="D345"/>
      <c r="E345"/>
    </row>
    <row r="346" spans="1:5" ht="18" x14ac:dyDescent="0.55000000000000004">
      <c r="A346"/>
      <c r="B346"/>
      <c r="C346"/>
      <c r="D346"/>
      <c r="E346"/>
    </row>
    <row r="347" spans="1:5" ht="18" x14ac:dyDescent="0.55000000000000004">
      <c r="A347"/>
      <c r="B347"/>
      <c r="C347"/>
      <c r="D347"/>
      <c r="E347"/>
    </row>
    <row r="348" spans="1:5" ht="18" x14ac:dyDescent="0.55000000000000004">
      <c r="A348"/>
      <c r="B348"/>
      <c r="C348"/>
      <c r="D348"/>
      <c r="E348"/>
    </row>
    <row r="349" spans="1:5" ht="18" x14ac:dyDescent="0.55000000000000004">
      <c r="A349"/>
      <c r="B349"/>
      <c r="C349"/>
      <c r="D349"/>
      <c r="E349"/>
    </row>
    <row r="350" spans="1:5" ht="18" x14ac:dyDescent="0.55000000000000004">
      <c r="A350"/>
      <c r="B350"/>
      <c r="C350"/>
      <c r="D350"/>
      <c r="E350"/>
    </row>
    <row r="351" spans="1:5" ht="18" x14ac:dyDescent="0.55000000000000004">
      <c r="A351"/>
      <c r="B351"/>
      <c r="C351"/>
      <c r="D351"/>
      <c r="E351"/>
    </row>
    <row r="352" spans="1:5" ht="18" x14ac:dyDescent="0.55000000000000004">
      <c r="A352"/>
      <c r="B352"/>
      <c r="C352"/>
      <c r="D352"/>
      <c r="E352"/>
    </row>
    <row r="353" spans="1:5" ht="18" x14ac:dyDescent="0.55000000000000004">
      <c r="A353"/>
      <c r="B353"/>
      <c r="C353"/>
      <c r="D353"/>
      <c r="E353"/>
    </row>
    <row r="354" spans="1:5" ht="18" x14ac:dyDescent="0.55000000000000004">
      <c r="A354"/>
      <c r="B354"/>
      <c r="C354"/>
      <c r="D354"/>
      <c r="E354"/>
    </row>
    <row r="355" spans="1:5" ht="18" x14ac:dyDescent="0.55000000000000004">
      <c r="A355"/>
      <c r="B355"/>
      <c r="C355"/>
      <c r="D355"/>
      <c r="E355"/>
    </row>
    <row r="356" spans="1:5" ht="18" x14ac:dyDescent="0.55000000000000004">
      <c r="A356"/>
      <c r="B356"/>
      <c r="C356"/>
      <c r="D356"/>
      <c r="E356"/>
    </row>
    <row r="357" spans="1:5" ht="18" x14ac:dyDescent="0.55000000000000004">
      <c r="A357"/>
      <c r="B357"/>
      <c r="C357"/>
      <c r="D357"/>
      <c r="E357"/>
    </row>
    <row r="358" spans="1:5" ht="18" x14ac:dyDescent="0.55000000000000004">
      <c r="A358"/>
      <c r="B358"/>
      <c r="C358"/>
      <c r="D358"/>
      <c r="E358"/>
    </row>
    <row r="359" spans="1:5" ht="18" x14ac:dyDescent="0.55000000000000004">
      <c r="A359"/>
      <c r="B359"/>
      <c r="C359"/>
      <c r="D359"/>
      <c r="E359"/>
    </row>
    <row r="360" spans="1:5" ht="18" x14ac:dyDescent="0.55000000000000004">
      <c r="A360"/>
      <c r="B360"/>
      <c r="C360"/>
      <c r="D360"/>
      <c r="E360"/>
    </row>
    <row r="361" spans="1:5" ht="18" x14ac:dyDescent="0.55000000000000004">
      <c r="A361"/>
      <c r="B361"/>
      <c r="C361"/>
      <c r="D361"/>
      <c r="E361"/>
    </row>
    <row r="362" spans="1:5" ht="18" x14ac:dyDescent="0.55000000000000004">
      <c r="A362"/>
      <c r="B362"/>
      <c r="C362"/>
      <c r="D362"/>
      <c r="E362"/>
    </row>
    <row r="363" spans="1:5" ht="18" x14ac:dyDescent="0.55000000000000004">
      <c r="A363"/>
      <c r="B363"/>
      <c r="C363"/>
      <c r="D363"/>
      <c r="E363"/>
    </row>
    <row r="364" spans="1:5" ht="18" x14ac:dyDescent="0.55000000000000004">
      <c r="A364"/>
      <c r="B364"/>
      <c r="C364"/>
      <c r="D364"/>
      <c r="E364"/>
    </row>
    <row r="365" spans="1:5" ht="18" x14ac:dyDescent="0.55000000000000004">
      <c r="A365"/>
      <c r="B365"/>
      <c r="C365"/>
      <c r="D365"/>
      <c r="E365"/>
    </row>
    <row r="366" spans="1:5" ht="18" x14ac:dyDescent="0.55000000000000004">
      <c r="A366"/>
      <c r="B366"/>
      <c r="C366"/>
      <c r="D366"/>
      <c r="E366"/>
    </row>
    <row r="367" spans="1:5" ht="18" x14ac:dyDescent="0.55000000000000004">
      <c r="A367"/>
      <c r="B367"/>
      <c r="C367"/>
      <c r="D367"/>
      <c r="E367"/>
    </row>
    <row r="368" spans="1:5" ht="18" x14ac:dyDescent="0.55000000000000004">
      <c r="A368"/>
      <c r="B368"/>
      <c r="C368"/>
      <c r="D368"/>
      <c r="E368"/>
    </row>
    <row r="369" spans="1:5" ht="18" x14ac:dyDescent="0.55000000000000004">
      <c r="A369"/>
      <c r="B369"/>
      <c r="C369"/>
      <c r="D369"/>
      <c r="E369"/>
    </row>
    <row r="370" spans="1:5" ht="18" x14ac:dyDescent="0.55000000000000004">
      <c r="A370"/>
      <c r="B370"/>
      <c r="C370"/>
      <c r="D370"/>
      <c r="E370"/>
    </row>
    <row r="371" spans="1:5" ht="18" x14ac:dyDescent="0.55000000000000004">
      <c r="A371"/>
      <c r="B371"/>
      <c r="C371"/>
      <c r="D371"/>
      <c r="E371"/>
    </row>
    <row r="372" spans="1:5" ht="18" x14ac:dyDescent="0.55000000000000004">
      <c r="A372"/>
      <c r="B372"/>
      <c r="C372"/>
      <c r="D372"/>
      <c r="E372"/>
    </row>
    <row r="373" spans="1:5" ht="18" x14ac:dyDescent="0.55000000000000004">
      <c r="A373"/>
      <c r="B373"/>
      <c r="C373"/>
      <c r="D373"/>
      <c r="E373"/>
    </row>
    <row r="374" spans="1:5" ht="18" x14ac:dyDescent="0.55000000000000004">
      <c r="A374"/>
      <c r="B374"/>
      <c r="C374"/>
      <c r="D374"/>
      <c r="E374"/>
    </row>
    <row r="375" spans="1:5" ht="18" x14ac:dyDescent="0.55000000000000004">
      <c r="A375"/>
      <c r="B375"/>
      <c r="C375"/>
      <c r="D375"/>
      <c r="E375"/>
    </row>
    <row r="376" spans="1:5" ht="18" x14ac:dyDescent="0.55000000000000004">
      <c r="A376"/>
      <c r="B376"/>
      <c r="C376"/>
      <c r="D376"/>
      <c r="E376"/>
    </row>
    <row r="377" spans="1:5" ht="18" x14ac:dyDescent="0.55000000000000004">
      <c r="A377"/>
      <c r="B377"/>
      <c r="C377"/>
      <c r="D377"/>
      <c r="E377"/>
    </row>
    <row r="378" spans="1:5" ht="18" x14ac:dyDescent="0.55000000000000004">
      <c r="A378"/>
      <c r="B378"/>
      <c r="C378"/>
      <c r="D378"/>
      <c r="E378"/>
    </row>
    <row r="379" spans="1:5" ht="18" x14ac:dyDescent="0.55000000000000004">
      <c r="A379"/>
      <c r="B379"/>
      <c r="C379"/>
      <c r="D379"/>
      <c r="E379"/>
    </row>
    <row r="380" spans="1:5" ht="18" x14ac:dyDescent="0.55000000000000004">
      <c r="A380"/>
      <c r="B380"/>
      <c r="C380"/>
      <c r="D380"/>
      <c r="E380"/>
    </row>
    <row r="381" spans="1:5" ht="18" x14ac:dyDescent="0.55000000000000004">
      <c r="A381"/>
      <c r="B381"/>
      <c r="C381"/>
      <c r="D381"/>
      <c r="E381"/>
    </row>
    <row r="382" spans="1:5" ht="18" x14ac:dyDescent="0.55000000000000004">
      <c r="A382"/>
      <c r="B382"/>
      <c r="C382"/>
      <c r="D382"/>
      <c r="E382"/>
    </row>
    <row r="383" spans="1:5" ht="18" x14ac:dyDescent="0.55000000000000004">
      <c r="A383"/>
      <c r="B383"/>
      <c r="C383"/>
      <c r="D383"/>
      <c r="E383"/>
    </row>
    <row r="384" spans="1:5" ht="18" x14ac:dyDescent="0.55000000000000004">
      <c r="A384"/>
      <c r="B384"/>
      <c r="C384"/>
      <c r="D384"/>
      <c r="E384"/>
    </row>
    <row r="385" spans="1:5" ht="18" x14ac:dyDescent="0.55000000000000004">
      <c r="A385"/>
      <c r="B385"/>
      <c r="C385"/>
      <c r="D385"/>
      <c r="E385"/>
    </row>
    <row r="386" spans="1:5" ht="18" x14ac:dyDescent="0.55000000000000004">
      <c r="A386"/>
      <c r="B386"/>
      <c r="C386"/>
      <c r="D386"/>
      <c r="E386"/>
    </row>
    <row r="387" spans="1:5" ht="18" x14ac:dyDescent="0.55000000000000004">
      <c r="A387"/>
      <c r="B387"/>
      <c r="C387"/>
      <c r="D387"/>
      <c r="E387"/>
    </row>
    <row r="388" spans="1:5" ht="18" x14ac:dyDescent="0.55000000000000004">
      <c r="A388"/>
      <c r="B388"/>
      <c r="C388"/>
      <c r="D388"/>
      <c r="E388"/>
    </row>
    <row r="389" spans="1:5" ht="18" x14ac:dyDescent="0.55000000000000004">
      <c r="A389"/>
      <c r="B389"/>
      <c r="C389"/>
      <c r="D389"/>
      <c r="E389"/>
    </row>
    <row r="390" spans="1:5" ht="18" x14ac:dyDescent="0.55000000000000004">
      <c r="A390"/>
      <c r="B390"/>
      <c r="C390"/>
      <c r="D390"/>
      <c r="E390"/>
    </row>
    <row r="391" spans="1:5" ht="18" x14ac:dyDescent="0.55000000000000004">
      <c r="A391"/>
      <c r="B391"/>
      <c r="C391"/>
      <c r="D391"/>
      <c r="E391"/>
    </row>
    <row r="392" spans="1:5" ht="18" x14ac:dyDescent="0.55000000000000004">
      <c r="A392"/>
      <c r="B392"/>
      <c r="C392"/>
      <c r="D392"/>
      <c r="E392"/>
    </row>
    <row r="393" spans="1:5" ht="18" x14ac:dyDescent="0.55000000000000004">
      <c r="A393"/>
      <c r="B393"/>
      <c r="C393"/>
      <c r="D393"/>
      <c r="E393"/>
    </row>
    <row r="394" spans="1:5" ht="18" x14ac:dyDescent="0.55000000000000004">
      <c r="A394"/>
      <c r="B394"/>
      <c r="C394"/>
      <c r="D394"/>
      <c r="E394"/>
    </row>
    <row r="395" spans="1:5" ht="18" x14ac:dyDescent="0.55000000000000004">
      <c r="A395"/>
      <c r="B395"/>
      <c r="C395"/>
      <c r="D395"/>
      <c r="E395"/>
    </row>
    <row r="396" spans="1:5" ht="18" x14ac:dyDescent="0.55000000000000004">
      <c r="A396"/>
      <c r="B396"/>
      <c r="C396"/>
      <c r="D396"/>
      <c r="E396"/>
    </row>
    <row r="397" spans="1:5" ht="18" x14ac:dyDescent="0.55000000000000004">
      <c r="A397"/>
      <c r="B397"/>
      <c r="C397"/>
      <c r="D397"/>
      <c r="E397"/>
    </row>
    <row r="398" spans="1:5" ht="18" x14ac:dyDescent="0.55000000000000004">
      <c r="A398"/>
      <c r="B398"/>
      <c r="C398"/>
      <c r="D398"/>
      <c r="E398"/>
    </row>
    <row r="399" spans="1:5" ht="18" x14ac:dyDescent="0.55000000000000004">
      <c r="A399"/>
      <c r="B399"/>
      <c r="C399"/>
      <c r="D399"/>
      <c r="E399"/>
    </row>
    <row r="400" spans="1:5" ht="18" x14ac:dyDescent="0.55000000000000004">
      <c r="A400"/>
      <c r="B400"/>
      <c r="C400"/>
      <c r="D400"/>
      <c r="E400"/>
    </row>
    <row r="401" spans="1:5" ht="18" x14ac:dyDescent="0.55000000000000004">
      <c r="A401"/>
      <c r="B401"/>
      <c r="C401"/>
      <c r="D401"/>
      <c r="E401"/>
    </row>
    <row r="402" spans="1:5" ht="18" x14ac:dyDescent="0.55000000000000004">
      <c r="A402"/>
      <c r="B402"/>
      <c r="C402"/>
      <c r="D402"/>
      <c r="E402"/>
    </row>
    <row r="403" spans="1:5" ht="18" x14ac:dyDescent="0.55000000000000004">
      <c r="A403"/>
      <c r="B403"/>
      <c r="C403"/>
      <c r="D403"/>
      <c r="E403"/>
    </row>
    <row r="404" spans="1:5" ht="18" x14ac:dyDescent="0.55000000000000004">
      <c r="A404"/>
      <c r="B404"/>
      <c r="C404"/>
      <c r="D404"/>
      <c r="E404"/>
    </row>
    <row r="405" spans="1:5" ht="18" x14ac:dyDescent="0.55000000000000004">
      <c r="A405"/>
      <c r="B405"/>
      <c r="C405"/>
      <c r="D405"/>
      <c r="E405"/>
    </row>
    <row r="406" spans="1:5" ht="18" x14ac:dyDescent="0.55000000000000004">
      <c r="A406"/>
      <c r="B406"/>
      <c r="C406"/>
      <c r="D406"/>
      <c r="E406"/>
    </row>
    <row r="407" spans="1:5" ht="18" x14ac:dyDescent="0.55000000000000004">
      <c r="A407"/>
      <c r="B407"/>
      <c r="C407"/>
      <c r="D407"/>
      <c r="E407"/>
    </row>
    <row r="408" spans="1:5" ht="18" x14ac:dyDescent="0.55000000000000004">
      <c r="A408"/>
      <c r="B408"/>
      <c r="C408"/>
      <c r="D408"/>
      <c r="E408"/>
    </row>
    <row r="409" spans="1:5" ht="18" x14ac:dyDescent="0.55000000000000004">
      <c r="A409"/>
      <c r="B409"/>
      <c r="C409"/>
      <c r="D409"/>
      <c r="E409"/>
    </row>
    <row r="410" spans="1:5" ht="18" x14ac:dyDescent="0.55000000000000004">
      <c r="A410"/>
      <c r="B410"/>
      <c r="C410"/>
      <c r="D410"/>
      <c r="E410"/>
    </row>
    <row r="411" spans="1:5" ht="18" x14ac:dyDescent="0.55000000000000004">
      <c r="A411"/>
      <c r="B411"/>
      <c r="C411"/>
      <c r="D411"/>
      <c r="E411"/>
    </row>
    <row r="412" spans="1:5" ht="18" x14ac:dyDescent="0.55000000000000004">
      <c r="A412"/>
      <c r="B412"/>
      <c r="C412"/>
      <c r="D412"/>
      <c r="E412"/>
    </row>
    <row r="413" spans="1:5" ht="18" x14ac:dyDescent="0.55000000000000004">
      <c r="A413"/>
      <c r="B413"/>
      <c r="C413"/>
      <c r="D413"/>
      <c r="E413"/>
    </row>
    <row r="414" spans="1:5" ht="18" x14ac:dyDescent="0.55000000000000004">
      <c r="A414"/>
      <c r="B414"/>
      <c r="C414"/>
      <c r="D414"/>
      <c r="E414"/>
    </row>
    <row r="415" spans="1:5" ht="18" x14ac:dyDescent="0.55000000000000004">
      <c r="A415"/>
      <c r="B415"/>
      <c r="C415"/>
      <c r="D415"/>
      <c r="E415"/>
    </row>
    <row r="416" spans="1:5" ht="18" x14ac:dyDescent="0.55000000000000004">
      <c r="A416"/>
      <c r="B416"/>
      <c r="C416"/>
      <c r="D416"/>
      <c r="E416"/>
    </row>
    <row r="417" spans="1:5" ht="18" x14ac:dyDescent="0.55000000000000004">
      <c r="A417"/>
      <c r="B417"/>
      <c r="C417"/>
      <c r="D417"/>
      <c r="E417"/>
    </row>
    <row r="418" spans="1:5" ht="18" x14ac:dyDescent="0.55000000000000004">
      <c r="A418"/>
      <c r="B418"/>
      <c r="C418"/>
      <c r="D418"/>
      <c r="E418"/>
    </row>
    <row r="419" spans="1:5" ht="18" x14ac:dyDescent="0.55000000000000004">
      <c r="A419"/>
      <c r="B419"/>
      <c r="C419"/>
      <c r="D419"/>
      <c r="E419"/>
    </row>
    <row r="420" spans="1:5" ht="18" x14ac:dyDescent="0.55000000000000004">
      <c r="A420"/>
      <c r="B420"/>
      <c r="C420"/>
      <c r="D420"/>
      <c r="E420"/>
    </row>
    <row r="421" spans="1:5" ht="18" x14ac:dyDescent="0.55000000000000004">
      <c r="A421"/>
      <c r="B421"/>
      <c r="C421"/>
      <c r="D421"/>
      <c r="E421"/>
    </row>
    <row r="422" spans="1:5" ht="18" x14ac:dyDescent="0.55000000000000004">
      <c r="A422"/>
      <c r="B422"/>
      <c r="C422"/>
      <c r="D422"/>
      <c r="E422"/>
    </row>
    <row r="423" spans="1:5" ht="18" x14ac:dyDescent="0.55000000000000004">
      <c r="A423"/>
      <c r="B423"/>
      <c r="C423"/>
      <c r="D423"/>
      <c r="E423"/>
    </row>
    <row r="424" spans="1:5" ht="18" x14ac:dyDescent="0.55000000000000004">
      <c r="A424"/>
      <c r="B424"/>
      <c r="C424"/>
      <c r="D424"/>
      <c r="E424"/>
    </row>
    <row r="425" spans="1:5" ht="18" x14ac:dyDescent="0.55000000000000004">
      <c r="A425"/>
      <c r="B425"/>
      <c r="C425"/>
      <c r="D425"/>
      <c r="E425"/>
    </row>
    <row r="426" spans="1:5" ht="18" x14ac:dyDescent="0.55000000000000004">
      <c r="A426"/>
      <c r="B426"/>
      <c r="C426"/>
      <c r="D426"/>
      <c r="E426"/>
    </row>
    <row r="427" spans="1:5" ht="18" x14ac:dyDescent="0.55000000000000004">
      <c r="A427"/>
      <c r="B427"/>
      <c r="C427"/>
      <c r="D427"/>
      <c r="E427"/>
    </row>
    <row r="428" spans="1:5" ht="18" x14ac:dyDescent="0.55000000000000004">
      <c r="A428"/>
      <c r="B428"/>
      <c r="C428"/>
      <c r="D428"/>
      <c r="E428"/>
    </row>
    <row r="429" spans="1:5" ht="18" x14ac:dyDescent="0.55000000000000004">
      <c r="A429"/>
      <c r="B429"/>
      <c r="C429"/>
      <c r="D429"/>
      <c r="E429"/>
    </row>
    <row r="430" spans="1:5" ht="18" x14ac:dyDescent="0.55000000000000004">
      <c r="A430"/>
      <c r="B430"/>
      <c r="C430"/>
      <c r="D430"/>
      <c r="E430"/>
    </row>
    <row r="431" spans="1:5" ht="18" x14ac:dyDescent="0.55000000000000004">
      <c r="A431"/>
      <c r="B431"/>
      <c r="C431"/>
      <c r="D431"/>
      <c r="E431"/>
    </row>
    <row r="432" spans="1:5" ht="18" x14ac:dyDescent="0.55000000000000004">
      <c r="A432"/>
      <c r="B432"/>
      <c r="C432"/>
      <c r="D432"/>
      <c r="E432"/>
    </row>
    <row r="433" spans="1:5" ht="18" x14ac:dyDescent="0.55000000000000004">
      <c r="A433"/>
      <c r="B433"/>
      <c r="C433"/>
      <c r="D433"/>
      <c r="E433"/>
    </row>
    <row r="434" spans="1:5" ht="18" x14ac:dyDescent="0.55000000000000004">
      <c r="A434"/>
      <c r="B434"/>
      <c r="C434"/>
      <c r="D434"/>
      <c r="E434"/>
    </row>
    <row r="435" spans="1:5" ht="18" x14ac:dyDescent="0.55000000000000004">
      <c r="A435"/>
      <c r="B435"/>
      <c r="C435"/>
      <c r="D435"/>
      <c r="E435"/>
    </row>
    <row r="436" spans="1:5" ht="18" x14ac:dyDescent="0.55000000000000004">
      <c r="A436"/>
      <c r="B436"/>
      <c r="C436"/>
      <c r="D436"/>
      <c r="E436"/>
    </row>
    <row r="437" spans="1:5" ht="18" x14ac:dyDescent="0.55000000000000004">
      <c r="A437"/>
      <c r="B437"/>
      <c r="C437"/>
      <c r="D437"/>
      <c r="E437"/>
    </row>
    <row r="438" spans="1:5" ht="18" x14ac:dyDescent="0.55000000000000004">
      <c r="A438"/>
      <c r="B438"/>
      <c r="C438"/>
      <c r="D438"/>
      <c r="E438"/>
    </row>
    <row r="439" spans="1:5" ht="18" x14ac:dyDescent="0.55000000000000004">
      <c r="A439"/>
      <c r="B439"/>
      <c r="C439"/>
      <c r="D439"/>
      <c r="E439"/>
    </row>
    <row r="440" spans="1:5" ht="18" x14ac:dyDescent="0.55000000000000004">
      <c r="A440"/>
      <c r="B440"/>
      <c r="C440"/>
      <c r="D440"/>
      <c r="E440"/>
    </row>
    <row r="441" spans="1:5" ht="18" x14ac:dyDescent="0.55000000000000004">
      <c r="A441"/>
      <c r="B441"/>
      <c r="C441"/>
      <c r="D441"/>
      <c r="E441"/>
    </row>
    <row r="442" spans="1:5" ht="18" x14ac:dyDescent="0.55000000000000004">
      <c r="A442"/>
      <c r="B442"/>
      <c r="C442"/>
      <c r="D442"/>
      <c r="E442"/>
    </row>
    <row r="443" spans="1:5" ht="18" x14ac:dyDescent="0.55000000000000004">
      <c r="A443"/>
      <c r="B443"/>
      <c r="C443"/>
      <c r="D443"/>
      <c r="E443"/>
    </row>
    <row r="444" spans="1:5" ht="18" x14ac:dyDescent="0.55000000000000004">
      <c r="A444"/>
      <c r="B444"/>
      <c r="C444"/>
      <c r="D444"/>
      <c r="E444"/>
    </row>
    <row r="445" spans="1:5" ht="18" x14ac:dyDescent="0.55000000000000004">
      <c r="A445"/>
      <c r="B445"/>
      <c r="C445"/>
      <c r="D445"/>
      <c r="E445"/>
    </row>
    <row r="446" spans="1:5" ht="18" x14ac:dyDescent="0.55000000000000004">
      <c r="A446"/>
      <c r="B446"/>
      <c r="C446"/>
      <c r="D446"/>
      <c r="E446"/>
    </row>
    <row r="447" spans="1:5" ht="18" x14ac:dyDescent="0.55000000000000004">
      <c r="A447"/>
      <c r="B447"/>
      <c r="C447"/>
      <c r="D447"/>
      <c r="E447"/>
    </row>
    <row r="448" spans="1:5" ht="18" x14ac:dyDescent="0.55000000000000004">
      <c r="A448"/>
      <c r="B448"/>
      <c r="C448"/>
      <c r="D448"/>
      <c r="E448"/>
    </row>
    <row r="449" spans="1:5" ht="18" x14ac:dyDescent="0.55000000000000004">
      <c r="A449"/>
      <c r="B449"/>
      <c r="C449"/>
      <c r="D449"/>
      <c r="E449"/>
    </row>
    <row r="450" spans="1:5" ht="18" x14ac:dyDescent="0.55000000000000004">
      <c r="A450"/>
      <c r="B450"/>
      <c r="C450"/>
      <c r="D450"/>
      <c r="E450"/>
    </row>
    <row r="451" spans="1:5" ht="18" x14ac:dyDescent="0.55000000000000004">
      <c r="A451"/>
      <c r="B451"/>
      <c r="C451"/>
      <c r="D451"/>
      <c r="E451"/>
    </row>
    <row r="452" spans="1:5" ht="18" x14ac:dyDescent="0.55000000000000004">
      <c r="A452"/>
      <c r="B452"/>
      <c r="C452"/>
      <c r="D452"/>
      <c r="E452"/>
    </row>
    <row r="453" spans="1:5" ht="18" x14ac:dyDescent="0.55000000000000004">
      <c r="A453"/>
      <c r="B453"/>
      <c r="C453"/>
      <c r="D453"/>
      <c r="E453"/>
    </row>
    <row r="454" spans="1:5" ht="18" x14ac:dyDescent="0.55000000000000004">
      <c r="A454"/>
      <c r="B454"/>
      <c r="C454"/>
      <c r="D454"/>
      <c r="E454"/>
    </row>
    <row r="455" spans="1:5" ht="18" x14ac:dyDescent="0.55000000000000004">
      <c r="A455"/>
      <c r="B455"/>
      <c r="C455"/>
      <c r="D455"/>
      <c r="E455"/>
    </row>
    <row r="456" spans="1:5" ht="18" x14ac:dyDescent="0.55000000000000004">
      <c r="A456"/>
      <c r="B456"/>
      <c r="C456"/>
      <c r="D456"/>
      <c r="E456"/>
    </row>
    <row r="457" spans="1:5" ht="18" x14ac:dyDescent="0.55000000000000004">
      <c r="A457"/>
      <c r="B457"/>
      <c r="C457"/>
      <c r="D457"/>
      <c r="E457"/>
    </row>
    <row r="458" spans="1:5" ht="18" x14ac:dyDescent="0.55000000000000004">
      <c r="A458"/>
      <c r="B458"/>
      <c r="C458"/>
      <c r="D458"/>
      <c r="E458"/>
    </row>
    <row r="459" spans="1:5" ht="18" x14ac:dyDescent="0.55000000000000004">
      <c r="A459"/>
      <c r="B459"/>
      <c r="C459"/>
      <c r="D459"/>
      <c r="E459"/>
    </row>
    <row r="460" spans="1:5" ht="18" x14ac:dyDescent="0.55000000000000004">
      <c r="A460"/>
      <c r="B460"/>
      <c r="C460"/>
      <c r="D460"/>
      <c r="E460"/>
    </row>
    <row r="461" spans="1:5" ht="18" x14ac:dyDescent="0.55000000000000004">
      <c r="A461"/>
      <c r="B461"/>
      <c r="C461"/>
      <c r="D461"/>
      <c r="E461"/>
    </row>
    <row r="462" spans="1:5" ht="18" x14ac:dyDescent="0.55000000000000004">
      <c r="A462"/>
      <c r="B462"/>
      <c r="C462"/>
      <c r="D462"/>
      <c r="E462"/>
    </row>
    <row r="463" spans="1:5" ht="18" x14ac:dyDescent="0.55000000000000004">
      <c r="A463"/>
      <c r="B463"/>
      <c r="C463"/>
      <c r="D463"/>
      <c r="E463"/>
    </row>
    <row r="464" spans="1:5" ht="18" x14ac:dyDescent="0.55000000000000004">
      <c r="A464"/>
      <c r="B464"/>
      <c r="C464"/>
      <c r="D464"/>
      <c r="E464"/>
    </row>
    <row r="465" spans="1:5" ht="18" x14ac:dyDescent="0.55000000000000004">
      <c r="A465"/>
      <c r="B465"/>
      <c r="C465"/>
      <c r="D465"/>
      <c r="E465"/>
    </row>
    <row r="466" spans="1:5" ht="18" x14ac:dyDescent="0.55000000000000004">
      <c r="A466"/>
      <c r="B466"/>
      <c r="C466"/>
      <c r="D466"/>
      <c r="E466"/>
    </row>
    <row r="467" spans="1:5" ht="18" x14ac:dyDescent="0.55000000000000004">
      <c r="A467"/>
      <c r="B467"/>
      <c r="C467"/>
      <c r="D467"/>
      <c r="E467"/>
    </row>
    <row r="468" spans="1:5" ht="18" x14ac:dyDescent="0.55000000000000004">
      <c r="A468"/>
      <c r="B468"/>
      <c r="C468"/>
      <c r="D468"/>
      <c r="E468"/>
    </row>
    <row r="469" spans="1:5" ht="18" x14ac:dyDescent="0.55000000000000004">
      <c r="A469"/>
      <c r="B469"/>
      <c r="C469"/>
      <c r="D469"/>
      <c r="E469"/>
    </row>
    <row r="470" spans="1:5" ht="18" x14ac:dyDescent="0.55000000000000004">
      <c r="A470"/>
      <c r="B470"/>
      <c r="C470"/>
      <c r="D470"/>
      <c r="E470"/>
    </row>
    <row r="471" spans="1:5" ht="18" x14ac:dyDescent="0.55000000000000004">
      <c r="A471"/>
      <c r="B471"/>
      <c r="C471"/>
      <c r="D471"/>
      <c r="E471"/>
    </row>
    <row r="472" spans="1:5" ht="18" x14ac:dyDescent="0.55000000000000004">
      <c r="A472"/>
      <c r="B472"/>
      <c r="C472"/>
      <c r="D472"/>
      <c r="E472"/>
    </row>
    <row r="473" spans="1:5" ht="18" x14ac:dyDescent="0.55000000000000004">
      <c r="A473"/>
      <c r="B473"/>
      <c r="C473"/>
      <c r="D473"/>
      <c r="E473"/>
    </row>
    <row r="474" spans="1:5" ht="18" x14ac:dyDescent="0.55000000000000004">
      <c r="A474"/>
      <c r="B474"/>
      <c r="C474"/>
      <c r="D474"/>
      <c r="E474"/>
    </row>
    <row r="475" spans="1:5" ht="18" x14ac:dyDescent="0.55000000000000004">
      <c r="A475"/>
      <c r="B475"/>
      <c r="C475"/>
      <c r="D475"/>
      <c r="E475"/>
    </row>
    <row r="476" spans="1:5" ht="18" x14ac:dyDescent="0.55000000000000004">
      <c r="A476"/>
      <c r="B476"/>
      <c r="C476"/>
      <c r="D476"/>
      <c r="E476"/>
    </row>
    <row r="477" spans="1:5" ht="18" x14ac:dyDescent="0.55000000000000004">
      <c r="A477"/>
      <c r="B477"/>
      <c r="C477"/>
      <c r="D477"/>
      <c r="E477"/>
    </row>
    <row r="478" spans="1:5" ht="18" x14ac:dyDescent="0.55000000000000004">
      <c r="A478"/>
      <c r="B478"/>
      <c r="C478"/>
      <c r="D478"/>
      <c r="E478"/>
    </row>
    <row r="479" spans="1:5" ht="18" x14ac:dyDescent="0.55000000000000004">
      <c r="A479"/>
      <c r="B479"/>
      <c r="C479"/>
      <c r="D479"/>
      <c r="E479"/>
    </row>
    <row r="480" spans="1:5" ht="18" x14ac:dyDescent="0.55000000000000004">
      <c r="A480"/>
      <c r="B480"/>
      <c r="C480"/>
      <c r="D480"/>
      <c r="E480"/>
    </row>
    <row r="481" spans="1:5" ht="18" x14ac:dyDescent="0.55000000000000004">
      <c r="A481"/>
      <c r="B481"/>
      <c r="C481"/>
      <c r="D481"/>
      <c r="E481"/>
    </row>
    <row r="482" spans="1:5" ht="18" x14ac:dyDescent="0.55000000000000004">
      <c r="A482"/>
      <c r="B482"/>
      <c r="C482"/>
      <c r="D482"/>
      <c r="E482"/>
    </row>
    <row r="483" spans="1:5" ht="18" x14ac:dyDescent="0.55000000000000004">
      <c r="A483"/>
      <c r="B483"/>
      <c r="C483"/>
      <c r="D483"/>
      <c r="E483"/>
    </row>
    <row r="484" spans="1:5" ht="18" x14ac:dyDescent="0.55000000000000004">
      <c r="A484"/>
      <c r="B484"/>
      <c r="C484"/>
      <c r="D484"/>
      <c r="E484"/>
    </row>
    <row r="485" spans="1:5" ht="18" x14ac:dyDescent="0.55000000000000004">
      <c r="A485"/>
      <c r="B485"/>
      <c r="C485"/>
      <c r="D485"/>
      <c r="E485"/>
    </row>
    <row r="486" spans="1:5" ht="18" x14ac:dyDescent="0.55000000000000004">
      <c r="A486"/>
      <c r="B486"/>
      <c r="C486"/>
      <c r="D486"/>
      <c r="E486"/>
    </row>
    <row r="487" spans="1:5" ht="18" x14ac:dyDescent="0.55000000000000004">
      <c r="A487"/>
      <c r="B487"/>
      <c r="C487"/>
      <c r="D487"/>
      <c r="E487"/>
    </row>
    <row r="488" spans="1:5" ht="18" x14ac:dyDescent="0.55000000000000004">
      <c r="A488"/>
      <c r="B488"/>
      <c r="C488"/>
      <c r="D488"/>
      <c r="E488"/>
    </row>
    <row r="489" spans="1:5" ht="18" x14ac:dyDescent="0.55000000000000004">
      <c r="A489"/>
      <c r="B489"/>
      <c r="C489"/>
      <c r="D489"/>
      <c r="E489"/>
    </row>
    <row r="490" spans="1:5" ht="18" x14ac:dyDescent="0.55000000000000004">
      <c r="A490"/>
      <c r="B490"/>
      <c r="C490"/>
      <c r="D490"/>
      <c r="E490"/>
    </row>
    <row r="491" spans="1:5" ht="18" x14ac:dyDescent="0.55000000000000004">
      <c r="A491"/>
      <c r="B491"/>
      <c r="C491"/>
      <c r="D491"/>
      <c r="E491"/>
    </row>
    <row r="492" spans="1:5" ht="18" x14ac:dyDescent="0.55000000000000004">
      <c r="A492"/>
      <c r="B492"/>
      <c r="C492"/>
      <c r="D492"/>
      <c r="E492"/>
    </row>
    <row r="493" spans="1:5" ht="18" x14ac:dyDescent="0.55000000000000004">
      <c r="A493"/>
      <c r="B493"/>
      <c r="C493"/>
      <c r="D493"/>
      <c r="E493"/>
    </row>
    <row r="494" spans="1:5" ht="18" x14ac:dyDescent="0.55000000000000004">
      <c r="A494"/>
      <c r="B494"/>
      <c r="C494"/>
      <c r="D494"/>
      <c r="E494"/>
    </row>
    <row r="495" spans="1:5" ht="18" x14ac:dyDescent="0.55000000000000004">
      <c r="A495"/>
      <c r="B495"/>
      <c r="C495"/>
      <c r="D495"/>
      <c r="E495"/>
    </row>
    <row r="496" spans="1:5" ht="18" x14ac:dyDescent="0.55000000000000004">
      <c r="A496"/>
      <c r="B496"/>
      <c r="C496"/>
      <c r="D496"/>
      <c r="E496"/>
    </row>
    <row r="497" spans="1:5" ht="18" x14ac:dyDescent="0.55000000000000004">
      <c r="A497"/>
      <c r="B497"/>
      <c r="C497"/>
      <c r="D497"/>
      <c r="E497"/>
    </row>
    <row r="498" spans="1:5" ht="18" x14ac:dyDescent="0.55000000000000004">
      <c r="A498"/>
      <c r="B498"/>
      <c r="C498"/>
      <c r="D498"/>
      <c r="E498"/>
    </row>
    <row r="499" spans="1:5" ht="18" x14ac:dyDescent="0.55000000000000004">
      <c r="A499"/>
      <c r="B499"/>
      <c r="C499"/>
      <c r="D499"/>
      <c r="E499"/>
    </row>
    <row r="500" spans="1:5" ht="18" x14ac:dyDescent="0.55000000000000004">
      <c r="A500"/>
      <c r="B500"/>
      <c r="C500"/>
      <c r="D500"/>
      <c r="E500"/>
    </row>
    <row r="501" spans="1:5" ht="18" x14ac:dyDescent="0.55000000000000004">
      <c r="A501"/>
      <c r="B501"/>
      <c r="C501"/>
      <c r="D501"/>
      <c r="E501"/>
    </row>
    <row r="502" spans="1:5" ht="18" x14ac:dyDescent="0.55000000000000004">
      <c r="A502"/>
      <c r="B502"/>
      <c r="C502"/>
      <c r="D502"/>
      <c r="E502"/>
    </row>
    <row r="503" spans="1:5" ht="18" x14ac:dyDescent="0.55000000000000004">
      <c r="A503"/>
      <c r="B503"/>
      <c r="C503"/>
      <c r="D503"/>
      <c r="E503"/>
    </row>
    <row r="504" spans="1:5" ht="18" x14ac:dyDescent="0.55000000000000004">
      <c r="A504"/>
      <c r="B504"/>
      <c r="C504"/>
      <c r="D504"/>
      <c r="E504"/>
    </row>
    <row r="505" spans="1:5" ht="18" x14ac:dyDescent="0.55000000000000004">
      <c r="A505"/>
      <c r="B505"/>
      <c r="C505"/>
      <c r="D505"/>
      <c r="E505"/>
    </row>
    <row r="506" spans="1:5" ht="18" x14ac:dyDescent="0.55000000000000004">
      <c r="A506"/>
      <c r="B506"/>
      <c r="C506"/>
      <c r="D506"/>
      <c r="E506"/>
    </row>
    <row r="507" spans="1:5" ht="18" x14ac:dyDescent="0.55000000000000004">
      <c r="A507"/>
      <c r="B507"/>
      <c r="C507"/>
      <c r="D507"/>
      <c r="E507"/>
    </row>
    <row r="508" spans="1:5" ht="18" x14ac:dyDescent="0.55000000000000004">
      <c r="A508"/>
      <c r="B508"/>
      <c r="C508"/>
      <c r="D508"/>
      <c r="E508"/>
    </row>
    <row r="509" spans="1:5" ht="18" x14ac:dyDescent="0.55000000000000004">
      <c r="A509"/>
      <c r="B509"/>
      <c r="C509"/>
      <c r="D509"/>
      <c r="E509"/>
    </row>
    <row r="510" spans="1:5" ht="18" x14ac:dyDescent="0.55000000000000004">
      <c r="A510"/>
      <c r="B510"/>
      <c r="C510"/>
      <c r="D510"/>
      <c r="E510"/>
    </row>
    <row r="511" spans="1:5" ht="18" x14ac:dyDescent="0.55000000000000004">
      <c r="A511"/>
      <c r="B511"/>
      <c r="C511"/>
      <c r="D511"/>
      <c r="E511"/>
    </row>
    <row r="512" spans="1:5" ht="18" x14ac:dyDescent="0.55000000000000004">
      <c r="A512"/>
      <c r="B512"/>
      <c r="C512"/>
      <c r="D512"/>
      <c r="E512"/>
    </row>
    <row r="513" spans="1:5" ht="18" x14ac:dyDescent="0.55000000000000004">
      <c r="A513"/>
      <c r="B513"/>
      <c r="C513"/>
      <c r="D513"/>
      <c r="E513"/>
    </row>
    <row r="514" spans="1:5" ht="18" x14ac:dyDescent="0.55000000000000004">
      <c r="A514"/>
      <c r="B514"/>
      <c r="C514"/>
      <c r="D514"/>
      <c r="E514"/>
    </row>
    <row r="515" spans="1:5" ht="18" x14ac:dyDescent="0.55000000000000004">
      <c r="A515"/>
      <c r="B515"/>
      <c r="C515"/>
      <c r="D515"/>
      <c r="E515"/>
    </row>
    <row r="516" spans="1:5" ht="18" x14ac:dyDescent="0.55000000000000004">
      <c r="A516"/>
      <c r="B516"/>
      <c r="C516"/>
      <c r="D516"/>
      <c r="E516"/>
    </row>
    <row r="517" spans="1:5" ht="18" x14ac:dyDescent="0.55000000000000004">
      <c r="A517"/>
      <c r="B517"/>
      <c r="C517"/>
      <c r="D517"/>
      <c r="E517"/>
    </row>
    <row r="518" spans="1:5" ht="18" x14ac:dyDescent="0.55000000000000004">
      <c r="A518"/>
      <c r="B518"/>
      <c r="C518"/>
      <c r="D518"/>
      <c r="E518"/>
    </row>
    <row r="519" spans="1:5" ht="18" x14ac:dyDescent="0.55000000000000004">
      <c r="A519"/>
      <c r="B519"/>
      <c r="C519"/>
      <c r="D519"/>
      <c r="E519"/>
    </row>
    <row r="520" spans="1:5" ht="18" x14ac:dyDescent="0.55000000000000004">
      <c r="A520"/>
      <c r="B520"/>
      <c r="C520"/>
      <c r="D520"/>
      <c r="E520"/>
    </row>
    <row r="521" spans="1:5" ht="18" x14ac:dyDescent="0.55000000000000004">
      <c r="A521"/>
      <c r="B521"/>
      <c r="C521"/>
      <c r="D521"/>
      <c r="E521"/>
    </row>
    <row r="522" spans="1:5" ht="18" x14ac:dyDescent="0.55000000000000004">
      <c r="A522"/>
      <c r="B522"/>
      <c r="C522"/>
      <c r="D522"/>
      <c r="E522"/>
    </row>
    <row r="523" spans="1:5" ht="18" x14ac:dyDescent="0.55000000000000004">
      <c r="A523"/>
      <c r="B523"/>
      <c r="C523"/>
      <c r="D523"/>
      <c r="E523"/>
    </row>
    <row r="524" spans="1:5" ht="18" x14ac:dyDescent="0.55000000000000004">
      <c r="A524"/>
      <c r="B524"/>
      <c r="C524"/>
      <c r="D524"/>
      <c r="E524"/>
    </row>
    <row r="525" spans="1:5" ht="18" x14ac:dyDescent="0.55000000000000004">
      <c r="A525"/>
      <c r="B525"/>
      <c r="C525"/>
      <c r="D525"/>
      <c r="E525"/>
    </row>
    <row r="526" spans="1:5" ht="18" x14ac:dyDescent="0.55000000000000004">
      <c r="A526"/>
      <c r="B526"/>
      <c r="C526"/>
      <c r="D526"/>
      <c r="E526"/>
    </row>
    <row r="527" spans="1:5" ht="18" x14ac:dyDescent="0.55000000000000004">
      <c r="A527"/>
      <c r="B527"/>
      <c r="C527"/>
      <c r="D527"/>
      <c r="E527"/>
    </row>
    <row r="528" spans="1:5" ht="18" x14ac:dyDescent="0.55000000000000004">
      <c r="A528"/>
      <c r="B528"/>
      <c r="C528"/>
      <c r="D528"/>
      <c r="E528"/>
    </row>
    <row r="529" spans="1:5" ht="18" x14ac:dyDescent="0.55000000000000004">
      <c r="A529"/>
      <c r="B529"/>
      <c r="C529"/>
      <c r="D529"/>
      <c r="E529"/>
    </row>
    <row r="530" spans="1:5" ht="18" x14ac:dyDescent="0.55000000000000004">
      <c r="A530"/>
      <c r="B530"/>
      <c r="C530"/>
      <c r="D530"/>
      <c r="E530"/>
    </row>
    <row r="531" spans="1:5" ht="18" x14ac:dyDescent="0.55000000000000004">
      <c r="A531"/>
      <c r="B531"/>
      <c r="C531"/>
      <c r="D531"/>
      <c r="E531"/>
    </row>
    <row r="532" spans="1:5" ht="18" x14ac:dyDescent="0.55000000000000004">
      <c r="A532"/>
      <c r="B532"/>
      <c r="C532"/>
      <c r="D532"/>
      <c r="E532"/>
    </row>
    <row r="533" spans="1:5" ht="18" x14ac:dyDescent="0.55000000000000004">
      <c r="A533"/>
      <c r="B533"/>
      <c r="C533"/>
      <c r="D533"/>
      <c r="E533"/>
    </row>
    <row r="534" spans="1:5" ht="18" x14ac:dyDescent="0.55000000000000004">
      <c r="A534"/>
      <c r="B534"/>
      <c r="C534"/>
      <c r="D534"/>
      <c r="E534"/>
    </row>
    <row r="535" spans="1:5" ht="18" x14ac:dyDescent="0.55000000000000004">
      <c r="A535"/>
      <c r="B535"/>
      <c r="C535"/>
      <c r="D535"/>
      <c r="E535"/>
    </row>
    <row r="536" spans="1:5" ht="18" x14ac:dyDescent="0.55000000000000004">
      <c r="A536"/>
      <c r="B536"/>
      <c r="C536"/>
      <c r="D536"/>
      <c r="E536"/>
    </row>
    <row r="537" spans="1:5" ht="18" x14ac:dyDescent="0.55000000000000004">
      <c r="A537"/>
      <c r="B537"/>
      <c r="C537"/>
      <c r="D537"/>
      <c r="E537"/>
    </row>
    <row r="538" spans="1:5" ht="18" x14ac:dyDescent="0.55000000000000004">
      <c r="A538"/>
      <c r="B538"/>
      <c r="C538"/>
      <c r="D538"/>
      <c r="E538"/>
    </row>
    <row r="539" spans="1:5" ht="18" x14ac:dyDescent="0.55000000000000004">
      <c r="A539"/>
      <c r="B539"/>
      <c r="C539"/>
      <c r="D539"/>
      <c r="E539"/>
    </row>
    <row r="540" spans="1:5" ht="18" x14ac:dyDescent="0.55000000000000004">
      <c r="A540"/>
      <c r="B540"/>
      <c r="C540"/>
      <c r="D540"/>
      <c r="E540"/>
    </row>
    <row r="541" spans="1:5" ht="18" x14ac:dyDescent="0.55000000000000004">
      <c r="A541"/>
      <c r="B541"/>
      <c r="C541"/>
      <c r="D541"/>
      <c r="E541"/>
    </row>
    <row r="542" spans="1:5" ht="18" x14ac:dyDescent="0.55000000000000004">
      <c r="A542"/>
      <c r="B542"/>
      <c r="C542"/>
      <c r="D542"/>
      <c r="E542"/>
    </row>
    <row r="543" spans="1:5" ht="18" x14ac:dyDescent="0.55000000000000004">
      <c r="A543"/>
      <c r="B543"/>
      <c r="C543"/>
      <c r="D543"/>
      <c r="E543"/>
    </row>
    <row r="544" spans="1:5" ht="18" x14ac:dyDescent="0.55000000000000004">
      <c r="A544"/>
      <c r="B544"/>
      <c r="C544"/>
      <c r="D544"/>
      <c r="E544"/>
    </row>
    <row r="545" spans="1:5" ht="18" x14ac:dyDescent="0.55000000000000004">
      <c r="A545"/>
      <c r="B545"/>
      <c r="C545"/>
      <c r="D545"/>
      <c r="E545"/>
    </row>
    <row r="546" spans="1:5" ht="18" x14ac:dyDescent="0.55000000000000004">
      <c r="A546"/>
      <c r="B546"/>
      <c r="C546"/>
      <c r="D546"/>
      <c r="E546"/>
    </row>
    <row r="547" spans="1:5" ht="18" x14ac:dyDescent="0.55000000000000004">
      <c r="A547"/>
      <c r="B547"/>
      <c r="C547"/>
      <c r="D547"/>
      <c r="E547"/>
    </row>
    <row r="548" spans="1:5" ht="18" x14ac:dyDescent="0.55000000000000004">
      <c r="A548"/>
      <c r="B548"/>
      <c r="C548"/>
      <c r="D548"/>
      <c r="E548"/>
    </row>
    <row r="549" spans="1:5" ht="18" x14ac:dyDescent="0.55000000000000004">
      <c r="A549"/>
      <c r="B549"/>
      <c r="C549"/>
      <c r="D549"/>
      <c r="E549"/>
    </row>
    <row r="550" spans="1:5" ht="18" x14ac:dyDescent="0.55000000000000004">
      <c r="A550"/>
      <c r="B550"/>
      <c r="C550"/>
      <c r="D550"/>
      <c r="E550"/>
    </row>
    <row r="551" spans="1:5" ht="18" x14ac:dyDescent="0.55000000000000004">
      <c r="A551"/>
      <c r="B551"/>
      <c r="C551"/>
      <c r="D551"/>
      <c r="E551"/>
    </row>
    <row r="552" spans="1:5" ht="18" x14ac:dyDescent="0.55000000000000004">
      <c r="A552"/>
      <c r="B552"/>
      <c r="C552"/>
      <c r="D552"/>
      <c r="E552"/>
    </row>
    <row r="553" spans="1:5" ht="18" x14ac:dyDescent="0.55000000000000004">
      <c r="A553"/>
      <c r="B553"/>
      <c r="C553"/>
      <c r="D553"/>
      <c r="E553"/>
    </row>
    <row r="554" spans="1:5" ht="18" x14ac:dyDescent="0.55000000000000004">
      <c r="A554"/>
      <c r="B554"/>
      <c r="C554"/>
      <c r="D554"/>
      <c r="E554"/>
    </row>
    <row r="555" spans="1:5" ht="18" x14ac:dyDescent="0.55000000000000004">
      <c r="A555"/>
      <c r="B555"/>
      <c r="C555"/>
      <c r="D555"/>
      <c r="E555"/>
    </row>
    <row r="556" spans="1:5" ht="18" x14ac:dyDescent="0.55000000000000004">
      <c r="A556"/>
      <c r="B556"/>
      <c r="C556"/>
      <c r="D556"/>
      <c r="E556"/>
    </row>
    <row r="557" spans="1:5" ht="18" x14ac:dyDescent="0.55000000000000004">
      <c r="A557"/>
      <c r="B557"/>
      <c r="C557"/>
      <c r="D557"/>
      <c r="E557"/>
    </row>
    <row r="558" spans="1:5" ht="18" x14ac:dyDescent="0.55000000000000004">
      <c r="A558"/>
      <c r="B558"/>
      <c r="C558"/>
      <c r="D558"/>
      <c r="E558"/>
    </row>
    <row r="559" spans="1:5" ht="18" x14ac:dyDescent="0.55000000000000004">
      <c r="A559"/>
      <c r="B559"/>
      <c r="C559"/>
      <c r="D559"/>
      <c r="E559"/>
    </row>
    <row r="560" spans="1:5" ht="18" x14ac:dyDescent="0.55000000000000004">
      <c r="A560"/>
      <c r="B560"/>
      <c r="C560"/>
      <c r="D560"/>
      <c r="E560"/>
    </row>
    <row r="561" spans="1:5" ht="18" x14ac:dyDescent="0.55000000000000004">
      <c r="A561"/>
      <c r="B561"/>
      <c r="C561"/>
      <c r="D561"/>
      <c r="E561"/>
    </row>
    <row r="562" spans="1:5" ht="18" x14ac:dyDescent="0.55000000000000004">
      <c r="A562"/>
      <c r="B562"/>
      <c r="C562"/>
      <c r="D562"/>
      <c r="E562"/>
    </row>
    <row r="563" spans="1:5" ht="18" x14ac:dyDescent="0.55000000000000004">
      <c r="A563"/>
      <c r="B563"/>
      <c r="C563"/>
      <c r="D563"/>
      <c r="E563"/>
    </row>
    <row r="564" spans="1:5" ht="18" x14ac:dyDescent="0.55000000000000004">
      <c r="A564"/>
      <c r="B564"/>
      <c r="C564"/>
      <c r="D564"/>
      <c r="E564"/>
    </row>
    <row r="565" spans="1:5" ht="18" x14ac:dyDescent="0.55000000000000004">
      <c r="A565"/>
      <c r="B565"/>
      <c r="C565"/>
      <c r="D565"/>
      <c r="E565"/>
    </row>
    <row r="566" spans="1:5" ht="18" x14ac:dyDescent="0.55000000000000004">
      <c r="A566"/>
      <c r="B566"/>
      <c r="C566"/>
      <c r="D566"/>
      <c r="E566"/>
    </row>
    <row r="567" spans="1:5" ht="18" x14ac:dyDescent="0.55000000000000004">
      <c r="A567"/>
      <c r="B567"/>
      <c r="C567"/>
      <c r="D567"/>
      <c r="E567"/>
    </row>
    <row r="568" spans="1:5" ht="18" x14ac:dyDescent="0.55000000000000004">
      <c r="A568"/>
      <c r="B568"/>
      <c r="C568"/>
      <c r="D568"/>
      <c r="E568"/>
    </row>
    <row r="569" spans="1:5" ht="18" x14ac:dyDescent="0.55000000000000004">
      <c r="A569"/>
      <c r="B569"/>
      <c r="C569"/>
      <c r="D569"/>
      <c r="E569"/>
    </row>
    <row r="570" spans="1:5" ht="18" x14ac:dyDescent="0.55000000000000004">
      <c r="A570"/>
      <c r="B570"/>
      <c r="C570"/>
      <c r="D570"/>
      <c r="E570"/>
    </row>
    <row r="571" spans="1:5" ht="18" x14ac:dyDescent="0.55000000000000004">
      <c r="A571"/>
      <c r="B571"/>
      <c r="C571"/>
      <c r="D571"/>
      <c r="E571"/>
    </row>
    <row r="572" spans="1:5" ht="18" x14ac:dyDescent="0.55000000000000004">
      <c r="A572"/>
      <c r="B572"/>
      <c r="C572"/>
      <c r="D572"/>
      <c r="E572"/>
    </row>
    <row r="573" spans="1:5" ht="18" x14ac:dyDescent="0.55000000000000004">
      <c r="A573"/>
      <c r="B573"/>
      <c r="C573"/>
      <c r="D573"/>
      <c r="E573"/>
    </row>
    <row r="574" spans="1:5" ht="18" x14ac:dyDescent="0.55000000000000004">
      <c r="A574"/>
      <c r="B574"/>
      <c r="C574"/>
      <c r="D574"/>
      <c r="E574"/>
    </row>
    <row r="575" spans="1:5" ht="18" x14ac:dyDescent="0.55000000000000004">
      <c r="A575"/>
      <c r="B575"/>
      <c r="C575"/>
      <c r="D575"/>
      <c r="E575"/>
    </row>
  </sheetData>
  <phoneticPr fontId="1"/>
  <conditionalFormatting sqref="A2:A5">
    <cfRule type="expression" dxfId="18" priority="1" stopIfTrue="1">
      <formula>AND(A2&lt;&gt;"",ISNA(MATCH(A2,項目リスト,0)))</formula>
    </cfRule>
  </conditionalFormatting>
  <conditionalFormatting sqref="B2:C5 E2:E5">
    <cfRule type="expression" dxfId="17" priority="2" stopIfTrue="1">
      <formula>AND($A2&lt;&gt;"",B2="")</formula>
    </cfRule>
  </conditionalFormatting>
  <conditionalFormatting sqref="A6:A35">
    <cfRule type="expression" dxfId="2" priority="3" stopIfTrue="1">
      <formula>AND(A6&lt;&gt;"",ISNA(MATCH(A6,項目リスト,0)))</formula>
    </cfRule>
  </conditionalFormatting>
  <conditionalFormatting sqref="B6:C35 E6:E35">
    <cfRule type="expression" dxfId="1" priority="4" stopIfTrue="1">
      <formula>AND($A6&lt;&gt;"",B6="")</formula>
    </cfRule>
  </conditionalFormatting>
  <dataValidations count="7">
    <dataValidation imeMode="off" allowBlank="1" showInputMessage="1" showErrorMessage="1" sqref="C1" xr:uid="{E70D714C-86D6-4AD0-8D33-15676EDFC2F8}"/>
    <dataValidation imeMode="on" allowBlank="1" showInputMessage="1" showErrorMessage="1" sqref="A1:B1 E1" xr:uid="{A7AC1177-BE12-4B21-B794-28F63E606733}"/>
    <dataValidation type="list" allowBlank="1" showInputMessage="1" showErrorMessage="1" sqref="A2:A5 A6:A35" xr:uid="{FB9BE42E-68FD-4BF6-B9C0-FA191404D22B}">
      <formula1>項目リスト</formula1>
    </dataValidation>
    <dataValidation imeMode="on" allowBlank="1" showInputMessage="1" showErrorMessage="1" sqref="E2:E5 B2:B5" xr:uid="{05D9577B-AC85-435D-B3A3-A28FB3E566B8}"/>
    <dataValidation imeMode="off" allowBlank="1" showInputMessage="1" showErrorMessage="1" sqref="C2:C5" xr:uid="{6258DE35-DB5B-4FFE-8259-7491FAB6426A}"/>
    <dataValidation imeMode="on" allowBlank="1" showInputMessage="1" showErrorMessage="1" sqref="B6:B35 E6:E35" xr:uid="{701B5466-D1AA-468B-9A8A-302FD9870069}"/>
    <dataValidation imeMode="off" allowBlank="1" showInputMessage="1" showErrorMessage="1" sqref="C6:C35" xr:uid="{8AEA653F-0364-4549-8F4D-EA7220186A7D}"/>
  </dataValidation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9A16C-BF1B-48C7-B057-5F4992A93DB2}">
  <sheetPr codeName="segments">
    <tabColor theme="7" tint="0.59999389629810485"/>
  </sheetPr>
  <dimension ref="A1:D920"/>
  <sheetViews>
    <sheetView showGridLines="0" workbookViewId="0">
      <pane ySplit="1" topLeftCell="A2" activePane="bottomLeft" state="frozen"/>
      <selection activeCell="E5" sqref="E5"/>
      <selection pane="bottomLeft" activeCell="J15" sqref="J15"/>
    </sheetView>
  </sheetViews>
  <sheetFormatPr defaultRowHeight="15" x14ac:dyDescent="0.55000000000000004"/>
  <cols>
    <col min="1" max="1" width="14.83203125" style="30" customWidth="1"/>
    <col min="2" max="2" width="10.9140625" style="30" customWidth="1"/>
    <col min="3" max="3" width="13.4140625" style="30" customWidth="1"/>
    <col min="4" max="4" width="19.08203125" style="30" customWidth="1"/>
    <col min="5" max="16384" width="8.6640625" style="30"/>
  </cols>
  <sheetData>
    <row r="1" spans="1:4" x14ac:dyDescent="0.55000000000000004">
      <c r="A1" s="18" t="s">
        <v>83</v>
      </c>
      <c r="B1" s="31" t="s">
        <v>9</v>
      </c>
      <c r="C1" s="19" t="s">
        <v>127</v>
      </c>
      <c r="D1" s="22" t="s">
        <v>6</v>
      </c>
    </row>
    <row r="2" spans="1:4" x14ac:dyDescent="0.55000000000000004">
      <c r="A2" s="38" t="s">
        <v>98</v>
      </c>
      <c r="B2" s="38" t="s">
        <v>124</v>
      </c>
      <c r="C2" s="38" t="s">
        <v>102</v>
      </c>
      <c r="D2" s="38" t="s">
        <v>103</v>
      </c>
    </row>
    <row r="3" spans="1:4" x14ac:dyDescent="0.55000000000000004">
      <c r="A3" s="38" t="s">
        <v>98</v>
      </c>
      <c r="B3" s="38" t="s">
        <v>128</v>
      </c>
      <c r="C3" s="38" t="s">
        <v>101</v>
      </c>
      <c r="D3" s="38" t="s">
        <v>104</v>
      </c>
    </row>
    <row r="4" spans="1:4" x14ac:dyDescent="0.55000000000000004">
      <c r="A4" s="38" t="s">
        <v>98</v>
      </c>
      <c r="B4" s="38" t="s">
        <v>125</v>
      </c>
      <c r="C4" s="38" t="s">
        <v>105</v>
      </c>
      <c r="D4" s="38" t="s">
        <v>108</v>
      </c>
    </row>
    <row r="5" spans="1:4" x14ac:dyDescent="0.55000000000000004">
      <c r="A5" s="38" t="s">
        <v>98</v>
      </c>
      <c r="B5" s="38" t="s">
        <v>126</v>
      </c>
      <c r="C5" s="38" t="s">
        <v>106</v>
      </c>
      <c r="D5" s="38" t="s">
        <v>107</v>
      </c>
    </row>
    <row r="6" spans="1:4" x14ac:dyDescent="0.55000000000000004">
      <c r="A6" s="38" t="s">
        <v>129</v>
      </c>
      <c r="B6" s="38" t="s">
        <v>153</v>
      </c>
      <c r="C6" s="38" t="s">
        <v>154</v>
      </c>
      <c r="D6" s="38" t="s">
        <v>155</v>
      </c>
    </row>
    <row r="7" spans="1:4" x14ac:dyDescent="0.55000000000000004">
      <c r="A7" s="38" t="s">
        <v>129</v>
      </c>
      <c r="B7" s="38" t="s">
        <v>156</v>
      </c>
      <c r="C7" s="38" t="s">
        <v>157</v>
      </c>
      <c r="D7" s="38" t="s">
        <v>158</v>
      </c>
    </row>
    <row r="8" spans="1:4" x14ac:dyDescent="0.55000000000000004">
      <c r="A8" s="38" t="s">
        <v>129</v>
      </c>
      <c r="B8" s="38" t="s">
        <v>159</v>
      </c>
      <c r="C8" s="38" t="s">
        <v>160</v>
      </c>
      <c r="D8" s="38" t="s">
        <v>161</v>
      </c>
    </row>
    <row r="9" spans="1:4" x14ac:dyDescent="0.55000000000000004">
      <c r="A9" s="38" t="s">
        <v>129</v>
      </c>
      <c r="B9" s="38" t="s">
        <v>162</v>
      </c>
      <c r="C9" s="38" t="s">
        <v>163</v>
      </c>
      <c r="D9" s="38" t="s">
        <v>164</v>
      </c>
    </row>
    <row r="10" spans="1:4" x14ac:dyDescent="0.55000000000000004">
      <c r="A10" s="38" t="s">
        <v>129</v>
      </c>
      <c r="B10" s="38" t="s">
        <v>165</v>
      </c>
      <c r="C10" s="38" t="s">
        <v>166</v>
      </c>
      <c r="D10" s="38" t="s">
        <v>167</v>
      </c>
    </row>
    <row r="11" spans="1:4" x14ac:dyDescent="0.55000000000000004">
      <c r="A11" s="38" t="s">
        <v>202</v>
      </c>
      <c r="B11" s="38" t="s">
        <v>208</v>
      </c>
      <c r="C11" s="38" t="s">
        <v>209</v>
      </c>
      <c r="D11" s="38" t="s">
        <v>209</v>
      </c>
    </row>
    <row r="12" spans="1:4" x14ac:dyDescent="0.55000000000000004">
      <c r="A12" s="38" t="s">
        <v>202</v>
      </c>
      <c r="B12" s="38" t="s">
        <v>206</v>
      </c>
      <c r="C12" s="38" t="s">
        <v>101</v>
      </c>
      <c r="D12" s="38" t="s">
        <v>210</v>
      </c>
    </row>
    <row r="13" spans="1:4" x14ac:dyDescent="0.55000000000000004">
      <c r="A13" s="38" t="s">
        <v>202</v>
      </c>
      <c r="B13" s="38" t="s">
        <v>211</v>
      </c>
      <c r="C13" s="38" t="s">
        <v>212</v>
      </c>
      <c r="D13" s="38" t="s">
        <v>212</v>
      </c>
    </row>
    <row r="14" spans="1:4" x14ac:dyDescent="0.55000000000000004">
      <c r="A14" s="43" t="s">
        <v>202</v>
      </c>
      <c r="B14" s="43" t="s">
        <v>213</v>
      </c>
      <c r="C14" s="43" t="s">
        <v>214</v>
      </c>
      <c r="D14" s="43" t="s">
        <v>214</v>
      </c>
    </row>
    <row r="15" spans="1:4" x14ac:dyDescent="0.55000000000000004">
      <c r="A15" s="38"/>
      <c r="B15" s="38"/>
      <c r="C15" s="38"/>
      <c r="D15" s="38"/>
    </row>
    <row r="16" spans="1:4" x14ac:dyDescent="0.55000000000000004">
      <c r="A16" s="38"/>
      <c r="B16" s="38"/>
      <c r="C16" s="38"/>
      <c r="D16" s="38"/>
    </row>
    <row r="17" spans="1:4" x14ac:dyDescent="0.55000000000000004">
      <c r="A17" s="38"/>
      <c r="B17" s="38"/>
      <c r="C17" s="38"/>
      <c r="D17" s="38"/>
    </row>
    <row r="18" spans="1:4" x14ac:dyDescent="0.55000000000000004">
      <c r="A18" s="38"/>
      <c r="B18" s="38"/>
      <c r="C18" s="38"/>
      <c r="D18" s="38"/>
    </row>
    <row r="19" spans="1:4" x14ac:dyDescent="0.55000000000000004">
      <c r="A19" s="38"/>
      <c r="B19" s="38"/>
      <c r="C19" s="38"/>
      <c r="D19" s="38"/>
    </row>
    <row r="20" spans="1:4" x14ac:dyDescent="0.55000000000000004">
      <c r="A20" s="38"/>
      <c r="B20" s="38"/>
      <c r="C20" s="38"/>
      <c r="D20" s="38"/>
    </row>
    <row r="21" spans="1:4" x14ac:dyDescent="0.55000000000000004">
      <c r="A21" s="38"/>
      <c r="B21" s="38"/>
      <c r="C21" s="38"/>
      <c r="D21" s="38"/>
    </row>
    <row r="22" spans="1:4" x14ac:dyDescent="0.55000000000000004">
      <c r="A22" s="38"/>
      <c r="B22" s="38"/>
      <c r="C22" s="38"/>
      <c r="D22" s="38"/>
    </row>
    <row r="23" spans="1:4" x14ac:dyDescent="0.55000000000000004">
      <c r="A23" s="38"/>
      <c r="B23" s="38"/>
      <c r="C23" s="38"/>
      <c r="D23" s="38"/>
    </row>
    <row r="24" spans="1:4" x14ac:dyDescent="0.55000000000000004">
      <c r="A24" s="38"/>
      <c r="B24" s="38"/>
      <c r="C24" s="38"/>
      <c r="D24" s="38"/>
    </row>
    <row r="25" spans="1:4" x14ac:dyDescent="0.55000000000000004">
      <c r="A25" s="38"/>
      <c r="B25" s="38"/>
      <c r="C25" s="38"/>
      <c r="D25" s="38"/>
    </row>
    <row r="26" spans="1:4" x14ac:dyDescent="0.55000000000000004">
      <c r="A26" s="38"/>
      <c r="B26" s="38"/>
      <c r="C26" s="38"/>
      <c r="D26" s="38"/>
    </row>
    <row r="27" spans="1:4" x14ac:dyDescent="0.55000000000000004">
      <c r="A27" s="38"/>
      <c r="B27" s="38"/>
      <c r="C27" s="38"/>
      <c r="D27" s="38"/>
    </row>
    <row r="28" spans="1:4" x14ac:dyDescent="0.55000000000000004">
      <c r="A28" s="38"/>
      <c r="B28" s="38"/>
      <c r="C28" s="38"/>
      <c r="D28" s="38"/>
    </row>
    <row r="29" spans="1:4" x14ac:dyDescent="0.55000000000000004">
      <c r="A29" s="38"/>
      <c r="B29" s="38"/>
      <c r="C29" s="38"/>
      <c r="D29" s="38"/>
    </row>
    <row r="30" spans="1:4" x14ac:dyDescent="0.55000000000000004">
      <c r="A30" s="38"/>
      <c r="B30" s="38"/>
      <c r="C30" s="38"/>
      <c r="D30" s="38"/>
    </row>
    <row r="31" spans="1:4" x14ac:dyDescent="0.55000000000000004">
      <c r="A31" s="38"/>
      <c r="B31" s="38"/>
      <c r="C31" s="38"/>
      <c r="D31" s="38"/>
    </row>
    <row r="32" spans="1:4" x14ac:dyDescent="0.55000000000000004">
      <c r="A32" s="38"/>
      <c r="B32" s="38"/>
      <c r="C32" s="38"/>
      <c r="D32" s="38"/>
    </row>
    <row r="33" spans="1:4" x14ac:dyDescent="0.55000000000000004">
      <c r="A33" s="38"/>
      <c r="B33" s="38"/>
      <c r="C33" s="38"/>
      <c r="D33" s="38"/>
    </row>
    <row r="34" spans="1:4" x14ac:dyDescent="0.55000000000000004">
      <c r="A34" s="38"/>
      <c r="B34" s="38"/>
      <c r="C34" s="38"/>
      <c r="D34" s="38"/>
    </row>
    <row r="35" spans="1:4" x14ac:dyDescent="0.55000000000000004">
      <c r="A35" s="38"/>
      <c r="B35" s="38"/>
      <c r="C35" s="38"/>
      <c r="D35" s="38"/>
    </row>
    <row r="36" spans="1:4" x14ac:dyDescent="0.55000000000000004">
      <c r="A36" s="38"/>
      <c r="B36" s="38"/>
      <c r="C36" s="38"/>
      <c r="D36" s="38"/>
    </row>
    <row r="37" spans="1:4" x14ac:dyDescent="0.55000000000000004">
      <c r="A37" s="38"/>
      <c r="B37" s="38"/>
      <c r="C37" s="38"/>
      <c r="D37" s="38"/>
    </row>
    <row r="38" spans="1:4" x14ac:dyDescent="0.55000000000000004">
      <c r="A38" s="38"/>
      <c r="B38" s="38"/>
      <c r="C38" s="38"/>
      <c r="D38" s="38"/>
    </row>
    <row r="39" spans="1:4" x14ac:dyDescent="0.55000000000000004">
      <c r="A39" s="38"/>
      <c r="B39" s="38"/>
      <c r="C39" s="38"/>
      <c r="D39" s="38"/>
    </row>
    <row r="40" spans="1:4" x14ac:dyDescent="0.55000000000000004">
      <c r="A40" s="38"/>
      <c r="B40" s="38"/>
      <c r="C40" s="38"/>
      <c r="D40" s="38"/>
    </row>
    <row r="41" spans="1:4" x14ac:dyDescent="0.55000000000000004">
      <c r="A41" s="38"/>
      <c r="B41" s="38"/>
      <c r="C41" s="38"/>
      <c r="D41" s="38"/>
    </row>
    <row r="42" spans="1:4" x14ac:dyDescent="0.55000000000000004">
      <c r="A42" s="38"/>
      <c r="B42" s="38"/>
      <c r="C42" s="38"/>
      <c r="D42" s="38"/>
    </row>
    <row r="43" spans="1:4" x14ac:dyDescent="0.55000000000000004">
      <c r="A43" s="38"/>
      <c r="B43" s="38"/>
      <c r="C43" s="38"/>
      <c r="D43" s="38"/>
    </row>
    <row r="44" spans="1:4" x14ac:dyDescent="0.55000000000000004">
      <c r="A44" s="39"/>
      <c r="B44" s="39"/>
      <c r="C44" s="39"/>
      <c r="D44" s="39"/>
    </row>
    <row r="45" spans="1:4" ht="18" x14ac:dyDescent="0.55000000000000004">
      <c r="A45"/>
      <c r="B45"/>
      <c r="C45"/>
      <c r="D45"/>
    </row>
    <row r="46" spans="1:4" ht="18" x14ac:dyDescent="0.55000000000000004">
      <c r="A46"/>
      <c r="B46"/>
      <c r="C46"/>
      <c r="D46"/>
    </row>
    <row r="47" spans="1:4" ht="18" x14ac:dyDescent="0.55000000000000004">
      <c r="A47"/>
      <c r="B47"/>
      <c r="C47"/>
      <c r="D47"/>
    </row>
    <row r="48" spans="1:4" ht="18" x14ac:dyDescent="0.55000000000000004">
      <c r="A48"/>
      <c r="B48"/>
      <c r="C48"/>
      <c r="D48"/>
    </row>
    <row r="49" spans="1:4" ht="18" x14ac:dyDescent="0.55000000000000004">
      <c r="A49"/>
      <c r="B49"/>
      <c r="C49"/>
      <c r="D49"/>
    </row>
    <row r="50" spans="1:4" ht="18" x14ac:dyDescent="0.55000000000000004">
      <c r="A50"/>
      <c r="B50"/>
      <c r="C50"/>
      <c r="D50"/>
    </row>
    <row r="51" spans="1:4" ht="18" x14ac:dyDescent="0.55000000000000004">
      <c r="A51"/>
      <c r="B51"/>
      <c r="C51"/>
      <c r="D51"/>
    </row>
    <row r="52" spans="1:4" ht="18" x14ac:dyDescent="0.55000000000000004">
      <c r="A52"/>
      <c r="B52"/>
      <c r="C52"/>
      <c r="D52"/>
    </row>
    <row r="53" spans="1:4" ht="18" x14ac:dyDescent="0.55000000000000004">
      <c r="A53"/>
      <c r="B53"/>
      <c r="C53"/>
      <c r="D53"/>
    </row>
    <row r="54" spans="1:4" ht="18" x14ac:dyDescent="0.55000000000000004">
      <c r="A54"/>
      <c r="B54"/>
      <c r="C54"/>
      <c r="D54"/>
    </row>
    <row r="55" spans="1:4" ht="18" x14ac:dyDescent="0.55000000000000004">
      <c r="A55"/>
      <c r="B55"/>
      <c r="C55"/>
      <c r="D55"/>
    </row>
    <row r="56" spans="1:4" ht="18" x14ac:dyDescent="0.55000000000000004">
      <c r="A56"/>
      <c r="B56"/>
      <c r="C56"/>
      <c r="D56"/>
    </row>
    <row r="57" spans="1:4" ht="18" x14ac:dyDescent="0.55000000000000004">
      <c r="A57"/>
      <c r="B57"/>
      <c r="C57"/>
      <c r="D57"/>
    </row>
    <row r="58" spans="1:4" ht="18" x14ac:dyDescent="0.55000000000000004">
      <c r="A58"/>
      <c r="B58"/>
      <c r="C58"/>
      <c r="D58"/>
    </row>
    <row r="59" spans="1:4" ht="18" x14ac:dyDescent="0.55000000000000004">
      <c r="A59"/>
      <c r="B59"/>
      <c r="C59"/>
      <c r="D59"/>
    </row>
    <row r="60" spans="1:4" ht="18" x14ac:dyDescent="0.55000000000000004">
      <c r="A60"/>
      <c r="B60"/>
      <c r="C60"/>
      <c r="D60"/>
    </row>
    <row r="61" spans="1:4" ht="18" x14ac:dyDescent="0.55000000000000004">
      <c r="A61"/>
      <c r="B61"/>
      <c r="C61"/>
      <c r="D61"/>
    </row>
    <row r="62" spans="1:4" ht="18" x14ac:dyDescent="0.55000000000000004">
      <c r="A62"/>
      <c r="B62"/>
      <c r="C62"/>
      <c r="D62"/>
    </row>
    <row r="63" spans="1:4" ht="18" x14ac:dyDescent="0.55000000000000004">
      <c r="A63"/>
      <c r="B63"/>
      <c r="C63"/>
      <c r="D63"/>
    </row>
    <row r="64" spans="1:4" ht="18" x14ac:dyDescent="0.55000000000000004">
      <c r="A64"/>
      <c r="B64"/>
      <c r="C64"/>
      <c r="D64"/>
    </row>
    <row r="65" spans="1:4" ht="18" x14ac:dyDescent="0.55000000000000004">
      <c r="A65"/>
      <c r="B65"/>
      <c r="C65"/>
      <c r="D65"/>
    </row>
    <row r="66" spans="1:4" ht="18" x14ac:dyDescent="0.55000000000000004">
      <c r="A66"/>
      <c r="B66"/>
      <c r="C66"/>
      <c r="D66"/>
    </row>
    <row r="67" spans="1:4" ht="18" x14ac:dyDescent="0.55000000000000004">
      <c r="A67"/>
      <c r="B67"/>
      <c r="C67"/>
      <c r="D67"/>
    </row>
    <row r="68" spans="1:4" ht="18" x14ac:dyDescent="0.55000000000000004">
      <c r="A68"/>
      <c r="B68"/>
      <c r="C68"/>
      <c r="D68"/>
    </row>
    <row r="69" spans="1:4" ht="18" x14ac:dyDescent="0.55000000000000004">
      <c r="A69"/>
      <c r="B69"/>
      <c r="C69"/>
      <c r="D69"/>
    </row>
    <row r="70" spans="1:4" ht="18" x14ac:dyDescent="0.55000000000000004">
      <c r="A70"/>
      <c r="B70"/>
      <c r="C70"/>
      <c r="D70"/>
    </row>
    <row r="71" spans="1:4" ht="18" x14ac:dyDescent="0.55000000000000004">
      <c r="A71"/>
      <c r="B71"/>
      <c r="C71"/>
      <c r="D71"/>
    </row>
    <row r="72" spans="1:4" ht="18" x14ac:dyDescent="0.55000000000000004">
      <c r="A72"/>
      <c r="B72"/>
      <c r="C72"/>
      <c r="D72"/>
    </row>
    <row r="73" spans="1:4" ht="18" x14ac:dyDescent="0.55000000000000004">
      <c r="A73"/>
      <c r="B73"/>
      <c r="C73"/>
      <c r="D73"/>
    </row>
    <row r="74" spans="1:4" ht="18" x14ac:dyDescent="0.55000000000000004">
      <c r="A74"/>
      <c r="B74"/>
      <c r="C74"/>
      <c r="D74"/>
    </row>
    <row r="75" spans="1:4" ht="18" x14ac:dyDescent="0.55000000000000004">
      <c r="A75"/>
      <c r="B75"/>
      <c r="C75"/>
      <c r="D75"/>
    </row>
    <row r="76" spans="1:4" ht="18" x14ac:dyDescent="0.55000000000000004">
      <c r="A76"/>
      <c r="B76"/>
      <c r="C76"/>
      <c r="D76"/>
    </row>
    <row r="77" spans="1:4" ht="18" x14ac:dyDescent="0.55000000000000004">
      <c r="A77"/>
      <c r="B77"/>
      <c r="C77"/>
      <c r="D77"/>
    </row>
    <row r="78" spans="1:4" ht="18" x14ac:dyDescent="0.55000000000000004">
      <c r="A78"/>
      <c r="B78"/>
      <c r="C78"/>
      <c r="D78"/>
    </row>
    <row r="79" spans="1:4" ht="18" x14ac:dyDescent="0.55000000000000004">
      <c r="A79"/>
      <c r="B79"/>
      <c r="C79"/>
      <c r="D79"/>
    </row>
    <row r="80" spans="1:4" ht="18" x14ac:dyDescent="0.55000000000000004">
      <c r="A80"/>
      <c r="B80"/>
      <c r="C80"/>
      <c r="D80"/>
    </row>
    <row r="81" spans="1:4" ht="18" x14ac:dyDescent="0.55000000000000004">
      <c r="A81"/>
      <c r="B81"/>
      <c r="C81"/>
      <c r="D81"/>
    </row>
    <row r="82" spans="1:4" ht="18" x14ac:dyDescent="0.55000000000000004">
      <c r="A82"/>
      <c r="B82"/>
      <c r="C82"/>
      <c r="D82"/>
    </row>
    <row r="83" spans="1:4" ht="18" x14ac:dyDescent="0.55000000000000004">
      <c r="A83"/>
      <c r="B83"/>
      <c r="C83"/>
      <c r="D83"/>
    </row>
    <row r="84" spans="1:4" ht="18" x14ac:dyDescent="0.55000000000000004">
      <c r="A84"/>
      <c r="B84"/>
      <c r="C84"/>
      <c r="D84"/>
    </row>
    <row r="85" spans="1:4" ht="18" x14ac:dyDescent="0.55000000000000004">
      <c r="A85"/>
      <c r="B85"/>
      <c r="C85"/>
      <c r="D85"/>
    </row>
    <row r="86" spans="1:4" ht="18" x14ac:dyDescent="0.55000000000000004">
      <c r="A86"/>
      <c r="B86"/>
      <c r="C86"/>
      <c r="D86"/>
    </row>
    <row r="87" spans="1:4" ht="18" x14ac:dyDescent="0.55000000000000004">
      <c r="A87"/>
      <c r="B87"/>
      <c r="C87"/>
      <c r="D87"/>
    </row>
    <row r="88" spans="1:4" ht="18" x14ac:dyDescent="0.55000000000000004">
      <c r="A88"/>
      <c r="B88"/>
      <c r="C88"/>
      <c r="D88"/>
    </row>
    <row r="89" spans="1:4" ht="18" x14ac:dyDescent="0.55000000000000004">
      <c r="A89"/>
      <c r="B89"/>
      <c r="C89"/>
      <c r="D89"/>
    </row>
    <row r="90" spans="1:4" ht="18" x14ac:dyDescent="0.55000000000000004">
      <c r="A90"/>
      <c r="B90"/>
      <c r="C90"/>
      <c r="D90"/>
    </row>
    <row r="91" spans="1:4" ht="18" x14ac:dyDescent="0.55000000000000004">
      <c r="A91"/>
      <c r="B91"/>
      <c r="C91"/>
      <c r="D91"/>
    </row>
    <row r="92" spans="1:4" ht="18" x14ac:dyDescent="0.55000000000000004">
      <c r="A92"/>
      <c r="B92"/>
      <c r="C92"/>
      <c r="D92"/>
    </row>
    <row r="93" spans="1:4" ht="18" x14ac:dyDescent="0.55000000000000004">
      <c r="A93"/>
      <c r="B93"/>
      <c r="C93"/>
      <c r="D93"/>
    </row>
    <row r="94" spans="1:4" ht="18" x14ac:dyDescent="0.55000000000000004">
      <c r="A94"/>
      <c r="B94"/>
      <c r="C94"/>
      <c r="D94"/>
    </row>
    <row r="95" spans="1:4" ht="18" x14ac:dyDescent="0.55000000000000004">
      <c r="A95"/>
      <c r="B95"/>
      <c r="C95"/>
      <c r="D95"/>
    </row>
    <row r="96" spans="1:4" ht="18" x14ac:dyDescent="0.55000000000000004">
      <c r="A96"/>
      <c r="B96"/>
      <c r="C96"/>
      <c r="D96"/>
    </row>
    <row r="97" spans="1:4" ht="18" x14ac:dyDescent="0.55000000000000004">
      <c r="A97"/>
      <c r="B97"/>
      <c r="C97"/>
      <c r="D97"/>
    </row>
    <row r="98" spans="1:4" ht="18" x14ac:dyDescent="0.55000000000000004">
      <c r="A98"/>
      <c r="B98"/>
      <c r="C98"/>
      <c r="D98"/>
    </row>
    <row r="99" spans="1:4" ht="18" x14ac:dyDescent="0.55000000000000004">
      <c r="A99"/>
      <c r="B99"/>
      <c r="C99"/>
      <c r="D99"/>
    </row>
    <row r="100" spans="1:4" ht="18" x14ac:dyDescent="0.55000000000000004">
      <c r="A100"/>
      <c r="B100"/>
      <c r="C100"/>
      <c r="D100"/>
    </row>
    <row r="101" spans="1:4" ht="18" x14ac:dyDescent="0.55000000000000004">
      <c r="A101"/>
      <c r="B101"/>
      <c r="C101"/>
      <c r="D101"/>
    </row>
    <row r="102" spans="1:4" ht="18" x14ac:dyDescent="0.55000000000000004">
      <c r="A102"/>
      <c r="B102"/>
      <c r="C102"/>
      <c r="D102"/>
    </row>
    <row r="103" spans="1:4" ht="18" x14ac:dyDescent="0.55000000000000004">
      <c r="A103"/>
      <c r="B103"/>
      <c r="C103"/>
      <c r="D103"/>
    </row>
    <row r="104" spans="1:4" ht="18" x14ac:dyDescent="0.55000000000000004">
      <c r="A104"/>
      <c r="B104"/>
      <c r="C104"/>
      <c r="D104"/>
    </row>
    <row r="105" spans="1:4" ht="18" x14ac:dyDescent="0.55000000000000004">
      <c r="A105"/>
      <c r="B105"/>
      <c r="C105"/>
      <c r="D105"/>
    </row>
    <row r="106" spans="1:4" ht="18" x14ac:dyDescent="0.55000000000000004">
      <c r="A106"/>
      <c r="B106"/>
      <c r="C106"/>
      <c r="D106"/>
    </row>
    <row r="107" spans="1:4" ht="18" x14ac:dyDescent="0.55000000000000004">
      <c r="A107"/>
      <c r="B107"/>
      <c r="C107"/>
      <c r="D107"/>
    </row>
    <row r="108" spans="1:4" ht="18" x14ac:dyDescent="0.55000000000000004">
      <c r="A108"/>
      <c r="B108"/>
      <c r="C108"/>
      <c r="D108"/>
    </row>
    <row r="109" spans="1:4" ht="18" x14ac:dyDescent="0.55000000000000004">
      <c r="A109"/>
      <c r="B109"/>
      <c r="C109"/>
      <c r="D109"/>
    </row>
    <row r="110" spans="1:4" ht="18" x14ac:dyDescent="0.55000000000000004">
      <c r="A110"/>
      <c r="B110"/>
      <c r="C110"/>
      <c r="D110"/>
    </row>
    <row r="111" spans="1:4" ht="18" x14ac:dyDescent="0.55000000000000004">
      <c r="A111"/>
      <c r="B111"/>
      <c r="C111"/>
      <c r="D111"/>
    </row>
    <row r="112" spans="1:4" ht="18" x14ac:dyDescent="0.55000000000000004">
      <c r="A112"/>
      <c r="B112"/>
      <c r="C112"/>
      <c r="D112"/>
    </row>
    <row r="113" spans="1:4" ht="18" x14ac:dyDescent="0.55000000000000004">
      <c r="A113"/>
      <c r="B113"/>
      <c r="C113"/>
      <c r="D113"/>
    </row>
    <row r="114" spans="1:4" ht="18" x14ac:dyDescent="0.55000000000000004">
      <c r="A114"/>
      <c r="B114"/>
      <c r="C114"/>
      <c r="D114"/>
    </row>
    <row r="115" spans="1:4" ht="18" x14ac:dyDescent="0.55000000000000004">
      <c r="A115"/>
      <c r="B115"/>
      <c r="C115"/>
      <c r="D115"/>
    </row>
    <row r="116" spans="1:4" ht="18" x14ac:dyDescent="0.55000000000000004">
      <c r="A116"/>
      <c r="B116"/>
      <c r="C116"/>
      <c r="D116"/>
    </row>
    <row r="117" spans="1:4" ht="18" x14ac:dyDescent="0.55000000000000004">
      <c r="A117"/>
      <c r="B117"/>
      <c r="C117"/>
      <c r="D117"/>
    </row>
    <row r="118" spans="1:4" ht="18" x14ac:dyDescent="0.55000000000000004">
      <c r="A118"/>
      <c r="B118"/>
      <c r="C118"/>
      <c r="D118"/>
    </row>
    <row r="119" spans="1:4" ht="18" x14ac:dyDescent="0.55000000000000004">
      <c r="A119"/>
      <c r="B119"/>
      <c r="C119"/>
      <c r="D119"/>
    </row>
    <row r="120" spans="1:4" ht="18" x14ac:dyDescent="0.55000000000000004">
      <c r="A120"/>
      <c r="B120"/>
      <c r="C120"/>
      <c r="D120"/>
    </row>
    <row r="121" spans="1:4" ht="18" x14ac:dyDescent="0.55000000000000004">
      <c r="A121"/>
      <c r="B121"/>
      <c r="C121"/>
      <c r="D121"/>
    </row>
    <row r="122" spans="1:4" ht="18" x14ac:dyDescent="0.55000000000000004">
      <c r="A122"/>
      <c r="B122"/>
      <c r="C122"/>
      <c r="D122"/>
    </row>
    <row r="123" spans="1:4" ht="18" x14ac:dyDescent="0.55000000000000004">
      <c r="A123"/>
      <c r="B123"/>
      <c r="C123"/>
      <c r="D123"/>
    </row>
    <row r="124" spans="1:4" ht="18" x14ac:dyDescent="0.55000000000000004">
      <c r="A124"/>
      <c r="B124"/>
      <c r="C124"/>
      <c r="D124"/>
    </row>
    <row r="125" spans="1:4" ht="18" x14ac:dyDescent="0.55000000000000004">
      <c r="A125"/>
      <c r="B125"/>
      <c r="C125"/>
      <c r="D125"/>
    </row>
    <row r="126" spans="1:4" ht="18" x14ac:dyDescent="0.55000000000000004">
      <c r="A126"/>
      <c r="B126"/>
      <c r="C126"/>
      <c r="D126"/>
    </row>
    <row r="127" spans="1:4" ht="18" x14ac:dyDescent="0.55000000000000004">
      <c r="A127"/>
      <c r="B127"/>
      <c r="C127"/>
      <c r="D127"/>
    </row>
    <row r="128" spans="1:4" ht="18" x14ac:dyDescent="0.55000000000000004">
      <c r="A128"/>
      <c r="B128"/>
      <c r="C128"/>
      <c r="D128"/>
    </row>
    <row r="129" spans="1:4" ht="18" x14ac:dyDescent="0.55000000000000004">
      <c r="A129"/>
      <c r="B129"/>
      <c r="C129"/>
      <c r="D129"/>
    </row>
    <row r="130" spans="1:4" ht="18" x14ac:dyDescent="0.55000000000000004">
      <c r="A130"/>
      <c r="B130"/>
      <c r="C130"/>
      <c r="D130"/>
    </row>
    <row r="131" spans="1:4" ht="18" x14ac:dyDescent="0.55000000000000004">
      <c r="A131"/>
      <c r="B131"/>
      <c r="C131"/>
      <c r="D131"/>
    </row>
    <row r="132" spans="1:4" ht="18" x14ac:dyDescent="0.55000000000000004">
      <c r="A132"/>
      <c r="B132"/>
      <c r="C132"/>
      <c r="D132"/>
    </row>
    <row r="133" spans="1:4" ht="18" x14ac:dyDescent="0.55000000000000004">
      <c r="A133"/>
      <c r="B133"/>
      <c r="C133"/>
      <c r="D133"/>
    </row>
    <row r="134" spans="1:4" ht="18" x14ac:dyDescent="0.55000000000000004">
      <c r="A134"/>
      <c r="B134"/>
      <c r="C134"/>
      <c r="D134"/>
    </row>
    <row r="135" spans="1:4" ht="18" x14ac:dyDescent="0.55000000000000004">
      <c r="A135"/>
      <c r="B135"/>
      <c r="C135"/>
      <c r="D135"/>
    </row>
    <row r="136" spans="1:4" ht="18" x14ac:dyDescent="0.55000000000000004">
      <c r="A136"/>
      <c r="B136"/>
      <c r="C136"/>
      <c r="D136"/>
    </row>
    <row r="137" spans="1:4" ht="18" x14ac:dyDescent="0.55000000000000004">
      <c r="A137"/>
      <c r="B137"/>
      <c r="C137"/>
      <c r="D137"/>
    </row>
    <row r="138" spans="1:4" ht="18" x14ac:dyDescent="0.55000000000000004">
      <c r="A138"/>
      <c r="B138"/>
      <c r="C138"/>
      <c r="D138"/>
    </row>
    <row r="139" spans="1:4" ht="18" x14ac:dyDescent="0.55000000000000004">
      <c r="A139"/>
      <c r="B139"/>
      <c r="C139"/>
      <c r="D139"/>
    </row>
    <row r="140" spans="1:4" ht="18" x14ac:dyDescent="0.55000000000000004">
      <c r="A140"/>
      <c r="B140"/>
      <c r="C140"/>
      <c r="D140"/>
    </row>
    <row r="141" spans="1:4" ht="18" x14ac:dyDescent="0.55000000000000004">
      <c r="A141"/>
      <c r="B141"/>
      <c r="C141"/>
      <c r="D141"/>
    </row>
    <row r="142" spans="1:4" ht="18" x14ac:dyDescent="0.55000000000000004">
      <c r="A142"/>
      <c r="B142"/>
      <c r="C142"/>
      <c r="D142"/>
    </row>
    <row r="143" spans="1:4" ht="18" x14ac:dyDescent="0.55000000000000004">
      <c r="A143"/>
      <c r="B143"/>
      <c r="C143"/>
      <c r="D143"/>
    </row>
    <row r="144" spans="1:4" ht="18" x14ac:dyDescent="0.55000000000000004">
      <c r="A144"/>
      <c r="B144"/>
      <c r="C144"/>
      <c r="D144"/>
    </row>
    <row r="145" spans="1:4" ht="18" x14ac:dyDescent="0.55000000000000004">
      <c r="A145"/>
      <c r="B145"/>
      <c r="C145"/>
      <c r="D145"/>
    </row>
    <row r="146" spans="1:4" ht="18" x14ac:dyDescent="0.55000000000000004">
      <c r="A146"/>
      <c r="B146"/>
      <c r="C146"/>
      <c r="D146"/>
    </row>
    <row r="147" spans="1:4" ht="18" x14ac:dyDescent="0.55000000000000004">
      <c r="A147"/>
      <c r="B147"/>
      <c r="C147"/>
      <c r="D147"/>
    </row>
    <row r="148" spans="1:4" ht="18" x14ac:dyDescent="0.55000000000000004">
      <c r="A148"/>
      <c r="B148"/>
      <c r="C148"/>
      <c r="D148"/>
    </row>
    <row r="149" spans="1:4" ht="18" x14ac:dyDescent="0.55000000000000004">
      <c r="A149"/>
      <c r="B149"/>
      <c r="C149"/>
      <c r="D149"/>
    </row>
    <row r="150" spans="1:4" ht="18" x14ac:dyDescent="0.55000000000000004">
      <c r="A150"/>
      <c r="B150"/>
      <c r="C150"/>
      <c r="D150"/>
    </row>
    <row r="151" spans="1:4" ht="18" x14ac:dyDescent="0.55000000000000004">
      <c r="A151"/>
      <c r="B151"/>
      <c r="C151"/>
      <c r="D151"/>
    </row>
    <row r="152" spans="1:4" ht="18" x14ac:dyDescent="0.55000000000000004">
      <c r="A152"/>
      <c r="B152"/>
      <c r="C152"/>
      <c r="D152"/>
    </row>
    <row r="153" spans="1:4" ht="18" x14ac:dyDescent="0.55000000000000004">
      <c r="A153"/>
      <c r="B153"/>
      <c r="C153"/>
      <c r="D153"/>
    </row>
    <row r="154" spans="1:4" ht="18" x14ac:dyDescent="0.55000000000000004">
      <c r="A154"/>
      <c r="B154"/>
      <c r="C154"/>
      <c r="D154"/>
    </row>
    <row r="155" spans="1:4" ht="18" x14ac:dyDescent="0.55000000000000004">
      <c r="A155"/>
      <c r="B155"/>
      <c r="C155"/>
      <c r="D155"/>
    </row>
    <row r="156" spans="1:4" ht="18" x14ac:dyDescent="0.55000000000000004">
      <c r="A156"/>
      <c r="B156"/>
      <c r="C156"/>
      <c r="D156"/>
    </row>
    <row r="157" spans="1:4" ht="18" x14ac:dyDescent="0.55000000000000004">
      <c r="A157"/>
      <c r="B157"/>
      <c r="C157"/>
      <c r="D157"/>
    </row>
    <row r="158" spans="1:4" ht="18" x14ac:dyDescent="0.55000000000000004">
      <c r="A158"/>
      <c r="B158"/>
      <c r="C158"/>
      <c r="D158"/>
    </row>
    <row r="159" spans="1:4" ht="18" x14ac:dyDescent="0.55000000000000004">
      <c r="A159"/>
      <c r="B159"/>
      <c r="C159"/>
      <c r="D159"/>
    </row>
    <row r="160" spans="1:4" ht="18" x14ac:dyDescent="0.55000000000000004">
      <c r="A160"/>
      <c r="B160"/>
      <c r="C160"/>
      <c r="D160"/>
    </row>
    <row r="161" spans="1:4" ht="18" x14ac:dyDescent="0.55000000000000004">
      <c r="A161"/>
      <c r="B161"/>
      <c r="C161"/>
      <c r="D161"/>
    </row>
    <row r="162" spans="1:4" ht="18" x14ac:dyDescent="0.55000000000000004">
      <c r="A162"/>
      <c r="B162"/>
      <c r="C162"/>
      <c r="D162"/>
    </row>
    <row r="163" spans="1:4" ht="18" x14ac:dyDescent="0.55000000000000004">
      <c r="A163"/>
      <c r="B163"/>
      <c r="C163"/>
      <c r="D163"/>
    </row>
    <row r="164" spans="1:4" ht="18" x14ac:dyDescent="0.55000000000000004">
      <c r="A164"/>
      <c r="B164"/>
      <c r="C164"/>
      <c r="D164"/>
    </row>
    <row r="165" spans="1:4" ht="18" x14ac:dyDescent="0.55000000000000004">
      <c r="A165"/>
      <c r="B165"/>
      <c r="C165"/>
      <c r="D165"/>
    </row>
    <row r="166" spans="1:4" ht="18" x14ac:dyDescent="0.55000000000000004">
      <c r="A166"/>
      <c r="B166"/>
      <c r="C166"/>
      <c r="D166"/>
    </row>
    <row r="167" spans="1:4" ht="18" x14ac:dyDescent="0.55000000000000004">
      <c r="A167"/>
      <c r="B167"/>
      <c r="C167"/>
      <c r="D167"/>
    </row>
    <row r="168" spans="1:4" ht="18" x14ac:dyDescent="0.55000000000000004">
      <c r="A168"/>
      <c r="B168"/>
      <c r="C168"/>
      <c r="D168"/>
    </row>
    <row r="169" spans="1:4" ht="18" x14ac:dyDescent="0.55000000000000004">
      <c r="A169"/>
      <c r="B169"/>
      <c r="C169"/>
      <c r="D169"/>
    </row>
    <row r="170" spans="1:4" ht="18" x14ac:dyDescent="0.55000000000000004">
      <c r="A170"/>
      <c r="B170"/>
      <c r="C170"/>
      <c r="D170"/>
    </row>
    <row r="171" spans="1:4" ht="18" x14ac:dyDescent="0.55000000000000004">
      <c r="A171"/>
      <c r="B171"/>
      <c r="C171"/>
      <c r="D171"/>
    </row>
    <row r="172" spans="1:4" ht="18" x14ac:dyDescent="0.55000000000000004">
      <c r="A172"/>
      <c r="B172"/>
      <c r="C172"/>
      <c r="D172"/>
    </row>
    <row r="173" spans="1:4" ht="18" x14ac:dyDescent="0.55000000000000004">
      <c r="A173"/>
      <c r="B173"/>
      <c r="C173"/>
      <c r="D173"/>
    </row>
    <row r="174" spans="1:4" ht="18" x14ac:dyDescent="0.55000000000000004">
      <c r="A174"/>
      <c r="B174"/>
      <c r="C174"/>
      <c r="D174"/>
    </row>
    <row r="175" spans="1:4" ht="18" x14ac:dyDescent="0.55000000000000004">
      <c r="A175"/>
      <c r="B175"/>
      <c r="C175"/>
      <c r="D175"/>
    </row>
    <row r="176" spans="1:4" ht="18" x14ac:dyDescent="0.55000000000000004">
      <c r="A176"/>
      <c r="B176"/>
      <c r="C176"/>
      <c r="D176"/>
    </row>
    <row r="177" spans="1:4" ht="18" x14ac:dyDescent="0.55000000000000004">
      <c r="A177"/>
      <c r="B177"/>
      <c r="C177"/>
      <c r="D177"/>
    </row>
    <row r="178" spans="1:4" ht="18" x14ac:dyDescent="0.55000000000000004">
      <c r="A178"/>
      <c r="B178"/>
      <c r="C178"/>
      <c r="D178"/>
    </row>
    <row r="179" spans="1:4" ht="18" x14ac:dyDescent="0.55000000000000004">
      <c r="A179"/>
      <c r="B179"/>
      <c r="C179"/>
      <c r="D179"/>
    </row>
    <row r="180" spans="1:4" ht="18" x14ac:dyDescent="0.55000000000000004">
      <c r="A180"/>
      <c r="B180"/>
      <c r="C180"/>
      <c r="D180"/>
    </row>
    <row r="181" spans="1:4" ht="18" x14ac:dyDescent="0.55000000000000004">
      <c r="A181"/>
      <c r="B181"/>
      <c r="C181"/>
      <c r="D181"/>
    </row>
    <row r="182" spans="1:4" ht="18" x14ac:dyDescent="0.55000000000000004">
      <c r="A182"/>
      <c r="B182"/>
      <c r="C182"/>
      <c r="D182"/>
    </row>
    <row r="183" spans="1:4" ht="18" x14ac:dyDescent="0.55000000000000004">
      <c r="A183"/>
      <c r="B183"/>
      <c r="C183"/>
      <c r="D183"/>
    </row>
    <row r="184" spans="1:4" ht="18" x14ac:dyDescent="0.55000000000000004">
      <c r="A184"/>
      <c r="B184"/>
      <c r="C184"/>
      <c r="D184"/>
    </row>
    <row r="185" spans="1:4" ht="18" x14ac:dyDescent="0.55000000000000004">
      <c r="A185"/>
      <c r="B185"/>
      <c r="C185"/>
      <c r="D185"/>
    </row>
    <row r="186" spans="1:4" ht="18" x14ac:dyDescent="0.55000000000000004">
      <c r="A186"/>
      <c r="B186"/>
      <c r="C186"/>
      <c r="D186"/>
    </row>
    <row r="187" spans="1:4" ht="18" x14ac:dyDescent="0.55000000000000004">
      <c r="A187"/>
      <c r="B187"/>
      <c r="C187"/>
      <c r="D187"/>
    </row>
    <row r="188" spans="1:4" ht="18" x14ac:dyDescent="0.55000000000000004">
      <c r="A188"/>
      <c r="B188"/>
      <c r="C188"/>
      <c r="D188"/>
    </row>
    <row r="189" spans="1:4" ht="18" x14ac:dyDescent="0.55000000000000004">
      <c r="A189"/>
      <c r="B189"/>
      <c r="C189"/>
      <c r="D189"/>
    </row>
    <row r="190" spans="1:4" ht="18" x14ac:dyDescent="0.55000000000000004">
      <c r="A190"/>
      <c r="B190"/>
      <c r="C190"/>
      <c r="D190"/>
    </row>
    <row r="191" spans="1:4" ht="18" x14ac:dyDescent="0.55000000000000004">
      <c r="A191"/>
      <c r="B191"/>
      <c r="C191"/>
      <c r="D191"/>
    </row>
    <row r="192" spans="1:4" ht="18" x14ac:dyDescent="0.55000000000000004">
      <c r="A192"/>
      <c r="B192"/>
      <c r="C192"/>
      <c r="D192"/>
    </row>
    <row r="193" spans="1:4" ht="18" x14ac:dyDescent="0.55000000000000004">
      <c r="A193"/>
      <c r="B193"/>
      <c r="C193"/>
      <c r="D193"/>
    </row>
    <row r="194" spans="1:4" ht="18" x14ac:dyDescent="0.55000000000000004">
      <c r="A194"/>
      <c r="B194"/>
      <c r="C194"/>
      <c r="D194"/>
    </row>
    <row r="195" spans="1:4" ht="18" x14ac:dyDescent="0.55000000000000004">
      <c r="A195"/>
      <c r="B195"/>
      <c r="C195"/>
      <c r="D195"/>
    </row>
    <row r="196" spans="1:4" ht="18" x14ac:dyDescent="0.55000000000000004">
      <c r="A196"/>
      <c r="B196"/>
      <c r="C196"/>
      <c r="D196"/>
    </row>
    <row r="197" spans="1:4" ht="18" x14ac:dyDescent="0.55000000000000004">
      <c r="A197"/>
      <c r="B197"/>
      <c r="C197"/>
      <c r="D197"/>
    </row>
    <row r="198" spans="1:4" ht="18" x14ac:dyDescent="0.55000000000000004">
      <c r="A198"/>
      <c r="B198"/>
      <c r="C198"/>
      <c r="D198"/>
    </row>
    <row r="199" spans="1:4" ht="18" x14ac:dyDescent="0.55000000000000004">
      <c r="A199"/>
      <c r="B199"/>
      <c r="C199"/>
      <c r="D199"/>
    </row>
    <row r="200" spans="1:4" ht="18" x14ac:dyDescent="0.55000000000000004">
      <c r="A200"/>
      <c r="B200"/>
      <c r="C200"/>
      <c r="D200"/>
    </row>
    <row r="201" spans="1:4" ht="18" x14ac:dyDescent="0.55000000000000004">
      <c r="A201"/>
      <c r="B201"/>
      <c r="C201"/>
      <c r="D201"/>
    </row>
    <row r="202" spans="1:4" ht="18" x14ac:dyDescent="0.55000000000000004">
      <c r="A202"/>
      <c r="B202"/>
      <c r="C202"/>
      <c r="D202"/>
    </row>
    <row r="203" spans="1:4" ht="18" x14ac:dyDescent="0.55000000000000004">
      <c r="A203"/>
      <c r="B203"/>
      <c r="C203"/>
      <c r="D203"/>
    </row>
    <row r="204" spans="1:4" ht="18" x14ac:dyDescent="0.55000000000000004">
      <c r="A204"/>
      <c r="B204"/>
      <c r="C204"/>
      <c r="D204"/>
    </row>
    <row r="205" spans="1:4" ht="18" x14ac:dyDescent="0.55000000000000004">
      <c r="A205"/>
      <c r="B205"/>
      <c r="C205"/>
      <c r="D205"/>
    </row>
    <row r="206" spans="1:4" ht="18" x14ac:dyDescent="0.55000000000000004">
      <c r="A206"/>
      <c r="B206"/>
      <c r="C206"/>
      <c r="D206"/>
    </row>
    <row r="207" spans="1:4" ht="18" x14ac:dyDescent="0.55000000000000004">
      <c r="A207"/>
      <c r="B207"/>
      <c r="C207"/>
      <c r="D207"/>
    </row>
    <row r="208" spans="1:4" ht="18" x14ac:dyDescent="0.55000000000000004">
      <c r="A208"/>
      <c r="B208"/>
      <c r="C208"/>
      <c r="D208"/>
    </row>
    <row r="209" spans="1:4" ht="18" x14ac:dyDescent="0.55000000000000004">
      <c r="A209"/>
      <c r="B209"/>
      <c r="C209"/>
      <c r="D209"/>
    </row>
    <row r="210" spans="1:4" ht="18" x14ac:dyDescent="0.55000000000000004">
      <c r="A210"/>
      <c r="B210"/>
      <c r="C210"/>
      <c r="D210"/>
    </row>
    <row r="211" spans="1:4" ht="18" x14ac:dyDescent="0.55000000000000004">
      <c r="A211"/>
      <c r="B211"/>
      <c r="C211"/>
      <c r="D211"/>
    </row>
    <row r="212" spans="1:4" ht="18" x14ac:dyDescent="0.55000000000000004">
      <c r="A212"/>
      <c r="B212"/>
      <c r="C212"/>
      <c r="D212"/>
    </row>
    <row r="213" spans="1:4" ht="18" x14ac:dyDescent="0.55000000000000004">
      <c r="A213"/>
      <c r="B213"/>
      <c r="C213"/>
      <c r="D213"/>
    </row>
    <row r="214" spans="1:4" ht="18" x14ac:dyDescent="0.55000000000000004">
      <c r="A214"/>
      <c r="B214"/>
      <c r="C214"/>
      <c r="D214"/>
    </row>
    <row r="215" spans="1:4" ht="18" x14ac:dyDescent="0.55000000000000004">
      <c r="A215"/>
      <c r="B215"/>
      <c r="C215"/>
      <c r="D215"/>
    </row>
    <row r="216" spans="1:4" ht="18" x14ac:dyDescent="0.55000000000000004">
      <c r="A216"/>
      <c r="B216"/>
      <c r="C216"/>
      <c r="D216"/>
    </row>
    <row r="217" spans="1:4" ht="18" x14ac:dyDescent="0.55000000000000004">
      <c r="A217"/>
      <c r="B217"/>
      <c r="C217"/>
      <c r="D217"/>
    </row>
    <row r="218" spans="1:4" ht="18" x14ac:dyDescent="0.55000000000000004">
      <c r="A218"/>
      <c r="B218"/>
      <c r="C218"/>
      <c r="D218"/>
    </row>
    <row r="219" spans="1:4" ht="18" x14ac:dyDescent="0.55000000000000004">
      <c r="A219"/>
      <c r="B219"/>
      <c r="C219"/>
      <c r="D219"/>
    </row>
    <row r="220" spans="1:4" ht="18" x14ac:dyDescent="0.55000000000000004">
      <c r="A220"/>
      <c r="B220"/>
      <c r="C220"/>
      <c r="D220"/>
    </row>
    <row r="221" spans="1:4" ht="18" x14ac:dyDescent="0.55000000000000004">
      <c r="A221"/>
      <c r="B221"/>
      <c r="C221"/>
      <c r="D221"/>
    </row>
    <row r="222" spans="1:4" ht="18" x14ac:dyDescent="0.55000000000000004">
      <c r="A222"/>
      <c r="B222"/>
      <c r="C222"/>
      <c r="D222"/>
    </row>
    <row r="223" spans="1:4" ht="18" x14ac:dyDescent="0.55000000000000004">
      <c r="A223"/>
      <c r="B223"/>
      <c r="C223"/>
      <c r="D223"/>
    </row>
    <row r="224" spans="1:4" ht="18" x14ac:dyDescent="0.55000000000000004">
      <c r="A224"/>
      <c r="B224"/>
      <c r="C224"/>
      <c r="D224"/>
    </row>
    <row r="225" spans="1:4" ht="18" x14ac:dyDescent="0.55000000000000004">
      <c r="A225"/>
      <c r="B225"/>
      <c r="C225"/>
      <c r="D225"/>
    </row>
    <row r="226" spans="1:4" ht="18" x14ac:dyDescent="0.55000000000000004">
      <c r="A226"/>
      <c r="B226"/>
      <c r="C226"/>
      <c r="D226"/>
    </row>
    <row r="227" spans="1:4" ht="18" x14ac:dyDescent="0.55000000000000004">
      <c r="A227"/>
      <c r="B227"/>
      <c r="C227"/>
      <c r="D227"/>
    </row>
    <row r="228" spans="1:4" ht="18" x14ac:dyDescent="0.55000000000000004">
      <c r="A228"/>
      <c r="B228"/>
      <c r="C228"/>
      <c r="D228"/>
    </row>
    <row r="229" spans="1:4" ht="18" x14ac:dyDescent="0.55000000000000004">
      <c r="A229"/>
      <c r="B229"/>
      <c r="C229"/>
      <c r="D229"/>
    </row>
    <row r="230" spans="1:4" ht="18" x14ac:dyDescent="0.55000000000000004">
      <c r="A230"/>
      <c r="B230"/>
      <c r="C230"/>
      <c r="D230"/>
    </row>
    <row r="231" spans="1:4" ht="18" x14ac:dyDescent="0.55000000000000004">
      <c r="A231"/>
      <c r="B231"/>
      <c r="C231"/>
      <c r="D231"/>
    </row>
    <row r="232" spans="1:4" ht="18" x14ac:dyDescent="0.55000000000000004">
      <c r="A232"/>
      <c r="B232"/>
      <c r="C232"/>
      <c r="D232"/>
    </row>
    <row r="233" spans="1:4" ht="18" x14ac:dyDescent="0.55000000000000004">
      <c r="A233"/>
      <c r="B233"/>
      <c r="C233"/>
      <c r="D233"/>
    </row>
    <row r="234" spans="1:4" ht="18" x14ac:dyDescent="0.55000000000000004">
      <c r="A234"/>
      <c r="B234"/>
      <c r="C234"/>
      <c r="D234"/>
    </row>
    <row r="235" spans="1:4" ht="18" x14ac:dyDescent="0.55000000000000004">
      <c r="A235"/>
      <c r="B235"/>
      <c r="C235"/>
      <c r="D235"/>
    </row>
    <row r="236" spans="1:4" ht="18" x14ac:dyDescent="0.55000000000000004">
      <c r="A236"/>
      <c r="B236"/>
      <c r="C236"/>
      <c r="D236"/>
    </row>
    <row r="237" spans="1:4" ht="18" x14ac:dyDescent="0.55000000000000004">
      <c r="A237"/>
      <c r="B237"/>
      <c r="C237"/>
      <c r="D237"/>
    </row>
    <row r="238" spans="1:4" ht="18" x14ac:dyDescent="0.55000000000000004">
      <c r="A238"/>
      <c r="B238"/>
      <c r="C238"/>
      <c r="D238"/>
    </row>
    <row r="239" spans="1:4" ht="18" x14ac:dyDescent="0.55000000000000004">
      <c r="A239"/>
      <c r="B239"/>
      <c r="C239"/>
      <c r="D239"/>
    </row>
    <row r="240" spans="1:4" ht="18" x14ac:dyDescent="0.55000000000000004">
      <c r="A240"/>
      <c r="B240"/>
      <c r="C240"/>
      <c r="D240"/>
    </row>
    <row r="241" spans="1:4" ht="18" x14ac:dyDescent="0.55000000000000004">
      <c r="A241"/>
      <c r="B241"/>
      <c r="C241"/>
      <c r="D241"/>
    </row>
    <row r="242" spans="1:4" ht="18" x14ac:dyDescent="0.55000000000000004">
      <c r="A242"/>
      <c r="B242"/>
      <c r="C242"/>
      <c r="D242"/>
    </row>
    <row r="243" spans="1:4" ht="18" x14ac:dyDescent="0.55000000000000004">
      <c r="A243"/>
      <c r="B243"/>
      <c r="C243"/>
      <c r="D243"/>
    </row>
    <row r="244" spans="1:4" ht="18" x14ac:dyDescent="0.55000000000000004">
      <c r="A244"/>
      <c r="B244"/>
      <c r="C244"/>
      <c r="D244"/>
    </row>
    <row r="245" spans="1:4" ht="18" x14ac:dyDescent="0.55000000000000004">
      <c r="A245"/>
      <c r="B245"/>
      <c r="C245"/>
      <c r="D245"/>
    </row>
    <row r="246" spans="1:4" ht="18" x14ac:dyDescent="0.55000000000000004">
      <c r="A246"/>
      <c r="B246"/>
      <c r="C246"/>
      <c r="D246"/>
    </row>
    <row r="247" spans="1:4" ht="18" x14ac:dyDescent="0.55000000000000004">
      <c r="A247"/>
      <c r="B247"/>
      <c r="C247"/>
      <c r="D247"/>
    </row>
    <row r="248" spans="1:4" ht="18" x14ac:dyDescent="0.55000000000000004">
      <c r="A248"/>
      <c r="B248"/>
      <c r="C248"/>
      <c r="D248"/>
    </row>
    <row r="249" spans="1:4" ht="18" x14ac:dyDescent="0.55000000000000004">
      <c r="A249"/>
      <c r="B249"/>
      <c r="C249"/>
      <c r="D249"/>
    </row>
    <row r="250" spans="1:4" ht="18" x14ac:dyDescent="0.55000000000000004">
      <c r="A250"/>
      <c r="B250"/>
      <c r="C250"/>
      <c r="D250"/>
    </row>
    <row r="251" spans="1:4" ht="18" x14ac:dyDescent="0.55000000000000004">
      <c r="A251"/>
      <c r="B251"/>
      <c r="C251"/>
      <c r="D251"/>
    </row>
    <row r="252" spans="1:4" ht="18" x14ac:dyDescent="0.55000000000000004">
      <c r="A252"/>
      <c r="B252"/>
      <c r="C252"/>
      <c r="D252"/>
    </row>
    <row r="253" spans="1:4" ht="18" x14ac:dyDescent="0.55000000000000004">
      <c r="A253"/>
      <c r="B253"/>
      <c r="C253"/>
      <c r="D253"/>
    </row>
    <row r="254" spans="1:4" ht="18" x14ac:dyDescent="0.55000000000000004">
      <c r="A254"/>
      <c r="B254"/>
      <c r="C254"/>
      <c r="D254"/>
    </row>
    <row r="255" spans="1:4" ht="18" x14ac:dyDescent="0.55000000000000004">
      <c r="A255"/>
      <c r="B255"/>
      <c r="C255"/>
      <c r="D255"/>
    </row>
    <row r="256" spans="1:4" ht="18" x14ac:dyDescent="0.55000000000000004">
      <c r="A256"/>
      <c r="B256"/>
      <c r="C256"/>
      <c r="D256"/>
    </row>
    <row r="257" spans="1:4" ht="18" x14ac:dyDescent="0.55000000000000004">
      <c r="A257"/>
      <c r="B257"/>
      <c r="C257"/>
      <c r="D257"/>
    </row>
    <row r="258" spans="1:4" ht="18" x14ac:dyDescent="0.55000000000000004">
      <c r="A258"/>
      <c r="B258"/>
      <c r="C258"/>
      <c r="D258"/>
    </row>
    <row r="259" spans="1:4" ht="18" x14ac:dyDescent="0.55000000000000004">
      <c r="A259"/>
      <c r="B259"/>
      <c r="C259"/>
      <c r="D259"/>
    </row>
    <row r="260" spans="1:4" ht="18" x14ac:dyDescent="0.55000000000000004">
      <c r="A260"/>
      <c r="B260"/>
      <c r="C260"/>
      <c r="D260"/>
    </row>
    <row r="261" spans="1:4" ht="18" x14ac:dyDescent="0.55000000000000004">
      <c r="A261"/>
      <c r="B261"/>
      <c r="C261"/>
      <c r="D261"/>
    </row>
    <row r="262" spans="1:4" ht="18" x14ac:dyDescent="0.55000000000000004">
      <c r="A262"/>
      <c r="B262"/>
      <c r="C262"/>
      <c r="D262"/>
    </row>
    <row r="263" spans="1:4" ht="18" x14ac:dyDescent="0.55000000000000004">
      <c r="A263"/>
      <c r="B263"/>
      <c r="C263"/>
      <c r="D263"/>
    </row>
    <row r="264" spans="1:4" ht="18" x14ac:dyDescent="0.55000000000000004">
      <c r="A264"/>
      <c r="B264"/>
      <c r="C264"/>
      <c r="D264"/>
    </row>
    <row r="265" spans="1:4" ht="18" x14ac:dyDescent="0.55000000000000004">
      <c r="A265"/>
      <c r="B265"/>
      <c r="C265"/>
      <c r="D265"/>
    </row>
    <row r="266" spans="1:4" ht="18" x14ac:dyDescent="0.55000000000000004">
      <c r="A266"/>
      <c r="B266"/>
      <c r="C266"/>
      <c r="D266"/>
    </row>
    <row r="267" spans="1:4" ht="18" x14ac:dyDescent="0.55000000000000004">
      <c r="A267"/>
      <c r="B267"/>
      <c r="C267"/>
      <c r="D267"/>
    </row>
    <row r="268" spans="1:4" ht="18" x14ac:dyDescent="0.55000000000000004">
      <c r="A268"/>
      <c r="B268"/>
      <c r="C268"/>
      <c r="D268"/>
    </row>
    <row r="269" spans="1:4" ht="18" x14ac:dyDescent="0.55000000000000004">
      <c r="A269"/>
      <c r="B269"/>
      <c r="C269"/>
      <c r="D269"/>
    </row>
    <row r="270" spans="1:4" ht="18" x14ac:dyDescent="0.55000000000000004">
      <c r="A270"/>
      <c r="B270"/>
      <c r="C270"/>
      <c r="D270"/>
    </row>
    <row r="271" spans="1:4" ht="18" x14ac:dyDescent="0.55000000000000004">
      <c r="A271"/>
      <c r="B271"/>
      <c r="C271"/>
      <c r="D271"/>
    </row>
    <row r="272" spans="1:4" ht="18" x14ac:dyDescent="0.55000000000000004">
      <c r="A272"/>
      <c r="B272"/>
      <c r="C272"/>
      <c r="D272"/>
    </row>
    <row r="273" spans="1:4" ht="18" x14ac:dyDescent="0.55000000000000004">
      <c r="A273"/>
      <c r="B273"/>
      <c r="C273"/>
      <c r="D273"/>
    </row>
    <row r="274" spans="1:4" ht="18" x14ac:dyDescent="0.55000000000000004">
      <c r="A274"/>
      <c r="B274"/>
      <c r="C274"/>
      <c r="D274"/>
    </row>
    <row r="275" spans="1:4" ht="18" x14ac:dyDescent="0.55000000000000004">
      <c r="A275"/>
      <c r="B275"/>
      <c r="C275"/>
      <c r="D275"/>
    </row>
    <row r="276" spans="1:4" ht="18" x14ac:dyDescent="0.55000000000000004">
      <c r="A276"/>
      <c r="B276"/>
      <c r="C276"/>
      <c r="D276"/>
    </row>
    <row r="277" spans="1:4" ht="18" x14ac:dyDescent="0.55000000000000004">
      <c r="A277"/>
      <c r="B277"/>
      <c r="C277"/>
      <c r="D277"/>
    </row>
    <row r="278" spans="1:4" ht="18" x14ac:dyDescent="0.55000000000000004">
      <c r="A278"/>
      <c r="B278"/>
      <c r="C278"/>
      <c r="D278"/>
    </row>
    <row r="279" spans="1:4" ht="18" x14ac:dyDescent="0.55000000000000004">
      <c r="A279"/>
      <c r="B279"/>
      <c r="C279"/>
      <c r="D279"/>
    </row>
    <row r="280" spans="1:4" ht="18" x14ac:dyDescent="0.55000000000000004">
      <c r="A280"/>
      <c r="B280"/>
      <c r="C280"/>
      <c r="D280"/>
    </row>
    <row r="281" spans="1:4" ht="18" x14ac:dyDescent="0.55000000000000004">
      <c r="A281"/>
      <c r="B281"/>
      <c r="C281"/>
      <c r="D281"/>
    </row>
    <row r="282" spans="1:4" ht="18" x14ac:dyDescent="0.55000000000000004">
      <c r="A282"/>
      <c r="B282"/>
      <c r="C282"/>
      <c r="D282"/>
    </row>
    <row r="283" spans="1:4" ht="18" x14ac:dyDescent="0.55000000000000004">
      <c r="A283"/>
      <c r="B283"/>
      <c r="C283"/>
      <c r="D283"/>
    </row>
    <row r="284" spans="1:4" ht="18" x14ac:dyDescent="0.55000000000000004">
      <c r="A284"/>
      <c r="B284"/>
      <c r="C284"/>
      <c r="D284"/>
    </row>
    <row r="285" spans="1:4" ht="18" x14ac:dyDescent="0.55000000000000004">
      <c r="A285"/>
      <c r="B285"/>
      <c r="C285"/>
      <c r="D285"/>
    </row>
    <row r="286" spans="1:4" ht="18" x14ac:dyDescent="0.55000000000000004">
      <c r="A286"/>
      <c r="B286"/>
      <c r="C286"/>
      <c r="D286"/>
    </row>
    <row r="287" spans="1:4" ht="18" x14ac:dyDescent="0.55000000000000004">
      <c r="A287"/>
      <c r="B287"/>
      <c r="C287"/>
      <c r="D287"/>
    </row>
    <row r="288" spans="1:4" ht="18" x14ac:dyDescent="0.55000000000000004">
      <c r="A288"/>
      <c r="B288"/>
      <c r="C288"/>
      <c r="D288"/>
    </row>
    <row r="289" spans="1:4" ht="18" x14ac:dyDescent="0.55000000000000004">
      <c r="A289"/>
      <c r="B289"/>
      <c r="C289"/>
      <c r="D289"/>
    </row>
    <row r="290" spans="1:4" ht="18" x14ac:dyDescent="0.55000000000000004">
      <c r="A290"/>
      <c r="B290"/>
      <c r="C290"/>
      <c r="D290"/>
    </row>
    <row r="291" spans="1:4" ht="18" x14ac:dyDescent="0.55000000000000004">
      <c r="A291"/>
      <c r="B291"/>
      <c r="C291"/>
      <c r="D291"/>
    </row>
    <row r="292" spans="1:4" ht="18" x14ac:dyDescent="0.55000000000000004">
      <c r="A292"/>
      <c r="B292"/>
      <c r="C292"/>
      <c r="D292"/>
    </row>
    <row r="293" spans="1:4" ht="18" x14ac:dyDescent="0.55000000000000004">
      <c r="A293"/>
      <c r="B293"/>
      <c r="C293"/>
      <c r="D293"/>
    </row>
    <row r="294" spans="1:4" ht="18" x14ac:dyDescent="0.55000000000000004">
      <c r="A294"/>
      <c r="B294"/>
      <c r="C294"/>
      <c r="D294"/>
    </row>
    <row r="295" spans="1:4" ht="18" x14ac:dyDescent="0.55000000000000004">
      <c r="A295"/>
      <c r="B295"/>
      <c r="C295"/>
      <c r="D295"/>
    </row>
    <row r="296" spans="1:4" ht="18" x14ac:dyDescent="0.55000000000000004">
      <c r="A296"/>
      <c r="B296"/>
      <c r="C296"/>
      <c r="D296"/>
    </row>
    <row r="297" spans="1:4" ht="18" x14ac:dyDescent="0.55000000000000004">
      <c r="A297"/>
      <c r="B297"/>
      <c r="C297"/>
      <c r="D297"/>
    </row>
    <row r="298" spans="1:4" ht="18" x14ac:dyDescent="0.55000000000000004">
      <c r="A298"/>
      <c r="B298"/>
      <c r="C298"/>
      <c r="D298"/>
    </row>
    <row r="299" spans="1:4" ht="18" x14ac:dyDescent="0.55000000000000004">
      <c r="A299"/>
      <c r="B299"/>
      <c r="C299"/>
      <c r="D299"/>
    </row>
    <row r="300" spans="1:4" ht="18" x14ac:dyDescent="0.55000000000000004">
      <c r="A300"/>
      <c r="B300"/>
      <c r="C300"/>
      <c r="D300"/>
    </row>
    <row r="301" spans="1:4" ht="18" x14ac:dyDescent="0.55000000000000004">
      <c r="A301"/>
      <c r="B301"/>
      <c r="C301"/>
      <c r="D301"/>
    </row>
    <row r="302" spans="1:4" ht="18" x14ac:dyDescent="0.55000000000000004">
      <c r="A302"/>
      <c r="B302"/>
      <c r="C302"/>
      <c r="D302"/>
    </row>
    <row r="303" spans="1:4" ht="18" x14ac:dyDescent="0.55000000000000004">
      <c r="A303"/>
      <c r="B303"/>
      <c r="C303"/>
      <c r="D303"/>
    </row>
    <row r="304" spans="1:4" ht="18" x14ac:dyDescent="0.55000000000000004">
      <c r="A304"/>
      <c r="B304"/>
      <c r="C304"/>
      <c r="D304"/>
    </row>
    <row r="305" spans="1:4" ht="18" x14ac:dyDescent="0.55000000000000004">
      <c r="A305"/>
      <c r="B305"/>
      <c r="C305"/>
      <c r="D305"/>
    </row>
    <row r="306" spans="1:4" ht="18" x14ac:dyDescent="0.55000000000000004">
      <c r="A306"/>
      <c r="B306"/>
      <c r="C306"/>
      <c r="D306"/>
    </row>
    <row r="307" spans="1:4" ht="18" x14ac:dyDescent="0.55000000000000004">
      <c r="A307"/>
      <c r="B307"/>
      <c r="C307"/>
      <c r="D307"/>
    </row>
    <row r="308" spans="1:4" ht="18" x14ac:dyDescent="0.55000000000000004">
      <c r="A308"/>
      <c r="B308"/>
      <c r="C308"/>
      <c r="D308"/>
    </row>
    <row r="309" spans="1:4" ht="18" x14ac:dyDescent="0.55000000000000004">
      <c r="A309"/>
      <c r="B309"/>
      <c r="C309"/>
      <c r="D309"/>
    </row>
    <row r="310" spans="1:4" ht="18" x14ac:dyDescent="0.55000000000000004">
      <c r="A310"/>
      <c r="B310"/>
      <c r="C310"/>
      <c r="D310"/>
    </row>
    <row r="311" spans="1:4" ht="18" x14ac:dyDescent="0.55000000000000004">
      <c r="A311"/>
      <c r="B311"/>
      <c r="C311"/>
      <c r="D311"/>
    </row>
    <row r="312" spans="1:4" ht="18" x14ac:dyDescent="0.55000000000000004">
      <c r="A312"/>
      <c r="B312"/>
      <c r="C312"/>
      <c r="D312"/>
    </row>
    <row r="313" spans="1:4" ht="18" x14ac:dyDescent="0.55000000000000004">
      <c r="A313"/>
      <c r="B313"/>
      <c r="C313"/>
      <c r="D313"/>
    </row>
    <row r="314" spans="1:4" ht="18" x14ac:dyDescent="0.55000000000000004">
      <c r="A314"/>
      <c r="B314"/>
      <c r="C314"/>
      <c r="D314"/>
    </row>
    <row r="315" spans="1:4" ht="18" x14ac:dyDescent="0.55000000000000004">
      <c r="A315"/>
      <c r="B315"/>
      <c r="C315"/>
      <c r="D315"/>
    </row>
    <row r="316" spans="1:4" ht="18" x14ac:dyDescent="0.55000000000000004">
      <c r="A316"/>
      <c r="B316"/>
      <c r="C316"/>
      <c r="D316"/>
    </row>
    <row r="317" spans="1:4" ht="18" x14ac:dyDescent="0.55000000000000004">
      <c r="A317"/>
      <c r="B317"/>
      <c r="C317"/>
      <c r="D317"/>
    </row>
    <row r="318" spans="1:4" ht="18" x14ac:dyDescent="0.55000000000000004">
      <c r="A318"/>
      <c r="B318"/>
      <c r="C318"/>
      <c r="D318"/>
    </row>
    <row r="319" spans="1:4" ht="18" x14ac:dyDescent="0.55000000000000004">
      <c r="A319"/>
      <c r="B319"/>
      <c r="C319"/>
      <c r="D319"/>
    </row>
    <row r="320" spans="1:4" ht="18" x14ac:dyDescent="0.55000000000000004">
      <c r="A320"/>
      <c r="B320"/>
      <c r="C320"/>
      <c r="D320"/>
    </row>
    <row r="321" spans="1:4" ht="18" x14ac:dyDescent="0.55000000000000004">
      <c r="A321"/>
      <c r="B321"/>
      <c r="C321"/>
      <c r="D321"/>
    </row>
    <row r="322" spans="1:4" ht="18" x14ac:dyDescent="0.55000000000000004">
      <c r="A322"/>
      <c r="B322"/>
      <c r="C322"/>
      <c r="D322"/>
    </row>
    <row r="323" spans="1:4" ht="18" x14ac:dyDescent="0.55000000000000004">
      <c r="A323"/>
      <c r="B323"/>
      <c r="C323"/>
      <c r="D323"/>
    </row>
    <row r="324" spans="1:4" ht="18" x14ac:dyDescent="0.55000000000000004">
      <c r="A324"/>
      <c r="B324"/>
      <c r="C324"/>
      <c r="D324"/>
    </row>
    <row r="325" spans="1:4" ht="18" x14ac:dyDescent="0.55000000000000004">
      <c r="A325"/>
      <c r="B325"/>
      <c r="C325"/>
      <c r="D325"/>
    </row>
    <row r="326" spans="1:4" ht="18" x14ac:dyDescent="0.55000000000000004">
      <c r="A326"/>
      <c r="B326"/>
      <c r="C326"/>
      <c r="D326"/>
    </row>
    <row r="327" spans="1:4" ht="18" x14ac:dyDescent="0.55000000000000004">
      <c r="A327"/>
      <c r="B327"/>
      <c r="C327"/>
      <c r="D327"/>
    </row>
    <row r="328" spans="1:4" ht="18" x14ac:dyDescent="0.55000000000000004">
      <c r="A328"/>
      <c r="B328"/>
      <c r="C328"/>
      <c r="D328"/>
    </row>
    <row r="329" spans="1:4" ht="18" x14ac:dyDescent="0.55000000000000004">
      <c r="A329"/>
      <c r="B329"/>
      <c r="C329"/>
      <c r="D329"/>
    </row>
    <row r="330" spans="1:4" ht="18" x14ac:dyDescent="0.55000000000000004">
      <c r="A330"/>
      <c r="B330"/>
      <c r="C330"/>
      <c r="D330"/>
    </row>
    <row r="331" spans="1:4" ht="18" x14ac:dyDescent="0.55000000000000004">
      <c r="A331"/>
      <c r="B331"/>
      <c r="C331"/>
      <c r="D331"/>
    </row>
    <row r="332" spans="1:4" ht="18" x14ac:dyDescent="0.55000000000000004">
      <c r="A332"/>
      <c r="B332"/>
      <c r="C332"/>
      <c r="D332"/>
    </row>
    <row r="333" spans="1:4" ht="18" x14ac:dyDescent="0.55000000000000004">
      <c r="A333"/>
      <c r="B333"/>
      <c r="C333"/>
      <c r="D333"/>
    </row>
    <row r="334" spans="1:4" ht="18" x14ac:dyDescent="0.55000000000000004">
      <c r="A334"/>
      <c r="B334"/>
      <c r="C334"/>
      <c r="D334"/>
    </row>
    <row r="335" spans="1:4" ht="18" x14ac:dyDescent="0.55000000000000004">
      <c r="A335"/>
      <c r="B335"/>
      <c r="C335"/>
      <c r="D335"/>
    </row>
    <row r="336" spans="1:4" ht="18" x14ac:dyDescent="0.55000000000000004">
      <c r="A336"/>
      <c r="B336"/>
      <c r="C336"/>
      <c r="D336"/>
    </row>
    <row r="337" spans="1:4" ht="18" x14ac:dyDescent="0.55000000000000004">
      <c r="A337"/>
      <c r="B337"/>
      <c r="C337"/>
      <c r="D337"/>
    </row>
    <row r="338" spans="1:4" ht="18" x14ac:dyDescent="0.55000000000000004">
      <c r="A338"/>
      <c r="B338"/>
      <c r="C338"/>
      <c r="D338"/>
    </row>
    <row r="339" spans="1:4" ht="18" x14ac:dyDescent="0.55000000000000004">
      <c r="A339"/>
      <c r="B339"/>
      <c r="C339"/>
      <c r="D339"/>
    </row>
    <row r="340" spans="1:4" ht="18" x14ac:dyDescent="0.55000000000000004">
      <c r="A340"/>
      <c r="B340"/>
      <c r="C340"/>
      <c r="D340"/>
    </row>
    <row r="341" spans="1:4" ht="18" x14ac:dyDescent="0.55000000000000004">
      <c r="A341"/>
      <c r="B341"/>
      <c r="C341"/>
      <c r="D341"/>
    </row>
    <row r="342" spans="1:4" ht="18" x14ac:dyDescent="0.55000000000000004">
      <c r="A342"/>
      <c r="B342"/>
      <c r="C342"/>
      <c r="D342"/>
    </row>
    <row r="343" spans="1:4" ht="18" x14ac:dyDescent="0.55000000000000004">
      <c r="A343"/>
      <c r="B343"/>
      <c r="C343"/>
      <c r="D343"/>
    </row>
    <row r="344" spans="1:4" ht="18" x14ac:dyDescent="0.55000000000000004">
      <c r="A344"/>
      <c r="B344"/>
      <c r="C344"/>
      <c r="D344"/>
    </row>
    <row r="345" spans="1:4" ht="18" x14ac:dyDescent="0.55000000000000004">
      <c r="A345"/>
      <c r="B345"/>
      <c r="C345"/>
      <c r="D345"/>
    </row>
    <row r="346" spans="1:4" ht="18" x14ac:dyDescent="0.55000000000000004">
      <c r="A346"/>
      <c r="B346"/>
      <c r="C346"/>
      <c r="D346"/>
    </row>
    <row r="347" spans="1:4" ht="18" x14ac:dyDescent="0.55000000000000004">
      <c r="A347"/>
      <c r="B347"/>
      <c r="C347"/>
      <c r="D347"/>
    </row>
    <row r="348" spans="1:4" ht="18" x14ac:dyDescent="0.55000000000000004">
      <c r="A348"/>
      <c r="B348"/>
      <c r="C348"/>
      <c r="D348"/>
    </row>
    <row r="349" spans="1:4" ht="18" x14ac:dyDescent="0.55000000000000004">
      <c r="A349"/>
      <c r="B349"/>
      <c r="C349"/>
      <c r="D349"/>
    </row>
    <row r="350" spans="1:4" ht="18" x14ac:dyDescent="0.55000000000000004">
      <c r="A350"/>
      <c r="B350"/>
      <c r="C350"/>
      <c r="D350"/>
    </row>
    <row r="351" spans="1:4" ht="18" x14ac:dyDescent="0.55000000000000004">
      <c r="A351"/>
      <c r="B351"/>
      <c r="C351"/>
      <c r="D351"/>
    </row>
    <row r="352" spans="1:4" ht="18" x14ac:dyDescent="0.55000000000000004">
      <c r="A352"/>
      <c r="B352"/>
      <c r="C352"/>
      <c r="D352"/>
    </row>
    <row r="353" spans="1:4" ht="18" x14ac:dyDescent="0.55000000000000004">
      <c r="A353"/>
      <c r="B353"/>
      <c r="C353"/>
      <c r="D353"/>
    </row>
    <row r="354" spans="1:4" ht="18" x14ac:dyDescent="0.55000000000000004">
      <c r="A354"/>
      <c r="B354"/>
      <c r="C354"/>
      <c r="D354"/>
    </row>
    <row r="355" spans="1:4" ht="18" x14ac:dyDescent="0.55000000000000004">
      <c r="A355"/>
      <c r="B355"/>
      <c r="C355"/>
      <c r="D355"/>
    </row>
    <row r="356" spans="1:4" ht="18" x14ac:dyDescent="0.55000000000000004">
      <c r="A356"/>
      <c r="B356"/>
      <c r="C356"/>
      <c r="D356"/>
    </row>
    <row r="357" spans="1:4" ht="18" x14ac:dyDescent="0.55000000000000004">
      <c r="A357"/>
      <c r="B357"/>
      <c r="C357"/>
      <c r="D357"/>
    </row>
    <row r="358" spans="1:4" ht="18" x14ac:dyDescent="0.55000000000000004">
      <c r="A358"/>
      <c r="B358"/>
      <c r="C358"/>
      <c r="D358"/>
    </row>
    <row r="359" spans="1:4" ht="18" x14ac:dyDescent="0.55000000000000004">
      <c r="A359"/>
      <c r="B359"/>
      <c r="C359"/>
      <c r="D359"/>
    </row>
    <row r="360" spans="1:4" ht="18" x14ac:dyDescent="0.55000000000000004">
      <c r="A360"/>
      <c r="B360"/>
      <c r="C360"/>
      <c r="D360"/>
    </row>
    <row r="361" spans="1:4" ht="18" x14ac:dyDescent="0.55000000000000004">
      <c r="A361"/>
      <c r="B361"/>
      <c r="C361"/>
      <c r="D361"/>
    </row>
    <row r="362" spans="1:4" ht="18" x14ac:dyDescent="0.55000000000000004">
      <c r="A362"/>
      <c r="B362"/>
      <c r="C362"/>
      <c r="D362"/>
    </row>
    <row r="363" spans="1:4" ht="18" x14ac:dyDescent="0.55000000000000004">
      <c r="A363"/>
      <c r="B363"/>
      <c r="C363"/>
      <c r="D363"/>
    </row>
    <row r="364" spans="1:4" ht="18" x14ac:dyDescent="0.55000000000000004">
      <c r="A364"/>
      <c r="B364"/>
      <c r="C364"/>
      <c r="D364"/>
    </row>
    <row r="365" spans="1:4" ht="18" x14ac:dyDescent="0.55000000000000004">
      <c r="A365"/>
      <c r="B365"/>
      <c r="C365"/>
      <c r="D365"/>
    </row>
    <row r="366" spans="1:4" ht="18" x14ac:dyDescent="0.55000000000000004">
      <c r="A366"/>
      <c r="B366"/>
      <c r="C366"/>
      <c r="D366"/>
    </row>
    <row r="367" spans="1:4" ht="18" x14ac:dyDescent="0.55000000000000004">
      <c r="A367"/>
      <c r="B367"/>
      <c r="C367"/>
      <c r="D367"/>
    </row>
    <row r="368" spans="1:4" ht="18" x14ac:dyDescent="0.55000000000000004">
      <c r="A368"/>
      <c r="B368"/>
      <c r="C368"/>
      <c r="D368"/>
    </row>
    <row r="369" spans="1:4" ht="18" x14ac:dyDescent="0.55000000000000004">
      <c r="A369"/>
      <c r="B369"/>
      <c r="C369"/>
      <c r="D369"/>
    </row>
    <row r="370" spans="1:4" ht="18" x14ac:dyDescent="0.55000000000000004">
      <c r="A370"/>
      <c r="B370"/>
      <c r="C370"/>
      <c r="D370"/>
    </row>
    <row r="371" spans="1:4" ht="18" x14ac:dyDescent="0.55000000000000004">
      <c r="A371"/>
      <c r="B371"/>
      <c r="C371"/>
      <c r="D371"/>
    </row>
    <row r="372" spans="1:4" ht="18" x14ac:dyDescent="0.55000000000000004">
      <c r="A372"/>
      <c r="B372"/>
      <c r="C372"/>
      <c r="D372"/>
    </row>
    <row r="373" spans="1:4" ht="18" x14ac:dyDescent="0.55000000000000004">
      <c r="A373"/>
      <c r="B373"/>
      <c r="C373"/>
      <c r="D373"/>
    </row>
    <row r="374" spans="1:4" ht="18" x14ac:dyDescent="0.55000000000000004">
      <c r="A374"/>
      <c r="B374"/>
      <c r="C374"/>
      <c r="D374"/>
    </row>
    <row r="375" spans="1:4" ht="18" x14ac:dyDescent="0.55000000000000004">
      <c r="A375"/>
      <c r="B375"/>
      <c r="C375"/>
      <c r="D375"/>
    </row>
    <row r="376" spans="1:4" ht="18" x14ac:dyDescent="0.55000000000000004">
      <c r="A376"/>
      <c r="B376"/>
      <c r="C376"/>
      <c r="D376"/>
    </row>
    <row r="377" spans="1:4" ht="18" x14ac:dyDescent="0.55000000000000004">
      <c r="A377"/>
      <c r="B377"/>
      <c r="C377"/>
      <c r="D377"/>
    </row>
    <row r="378" spans="1:4" ht="18" x14ac:dyDescent="0.55000000000000004">
      <c r="A378"/>
      <c r="B378"/>
      <c r="C378"/>
      <c r="D378"/>
    </row>
    <row r="379" spans="1:4" ht="18" x14ac:dyDescent="0.55000000000000004">
      <c r="A379"/>
      <c r="B379"/>
      <c r="C379"/>
      <c r="D379"/>
    </row>
    <row r="380" spans="1:4" ht="18" x14ac:dyDescent="0.55000000000000004">
      <c r="A380"/>
      <c r="B380"/>
      <c r="C380"/>
      <c r="D380"/>
    </row>
    <row r="381" spans="1:4" ht="18" x14ac:dyDescent="0.55000000000000004">
      <c r="A381"/>
      <c r="B381"/>
      <c r="C381"/>
      <c r="D381"/>
    </row>
    <row r="382" spans="1:4" ht="18" x14ac:dyDescent="0.55000000000000004">
      <c r="A382"/>
      <c r="B382"/>
      <c r="C382"/>
      <c r="D382"/>
    </row>
    <row r="383" spans="1:4" ht="18" x14ac:dyDescent="0.55000000000000004">
      <c r="A383"/>
      <c r="B383"/>
      <c r="C383"/>
      <c r="D383"/>
    </row>
    <row r="384" spans="1:4" ht="18" x14ac:dyDescent="0.55000000000000004">
      <c r="A384"/>
      <c r="B384"/>
      <c r="C384"/>
      <c r="D384"/>
    </row>
    <row r="385" spans="1:4" ht="18" x14ac:dyDescent="0.55000000000000004">
      <c r="A385"/>
      <c r="B385"/>
      <c r="C385"/>
      <c r="D385"/>
    </row>
    <row r="386" spans="1:4" ht="18" x14ac:dyDescent="0.55000000000000004">
      <c r="A386"/>
      <c r="B386"/>
      <c r="C386"/>
      <c r="D386"/>
    </row>
    <row r="387" spans="1:4" ht="18" x14ac:dyDescent="0.55000000000000004">
      <c r="A387"/>
      <c r="B387"/>
      <c r="C387"/>
      <c r="D387"/>
    </row>
    <row r="388" spans="1:4" ht="18" x14ac:dyDescent="0.55000000000000004">
      <c r="A388"/>
      <c r="B388"/>
      <c r="C388"/>
      <c r="D388"/>
    </row>
    <row r="389" spans="1:4" ht="18" x14ac:dyDescent="0.55000000000000004">
      <c r="A389"/>
      <c r="B389"/>
      <c r="C389"/>
      <c r="D389"/>
    </row>
    <row r="390" spans="1:4" ht="18" x14ac:dyDescent="0.55000000000000004">
      <c r="A390"/>
      <c r="B390"/>
      <c r="C390"/>
      <c r="D390"/>
    </row>
    <row r="391" spans="1:4" ht="18" x14ac:dyDescent="0.55000000000000004">
      <c r="A391"/>
      <c r="B391"/>
      <c r="C391"/>
      <c r="D391"/>
    </row>
    <row r="392" spans="1:4" ht="18" x14ac:dyDescent="0.55000000000000004">
      <c r="A392"/>
      <c r="B392"/>
      <c r="C392"/>
      <c r="D392"/>
    </row>
    <row r="393" spans="1:4" ht="18" x14ac:dyDescent="0.55000000000000004">
      <c r="A393"/>
      <c r="B393"/>
      <c r="C393"/>
      <c r="D393"/>
    </row>
    <row r="394" spans="1:4" ht="18" x14ac:dyDescent="0.55000000000000004">
      <c r="A394"/>
      <c r="B394"/>
      <c r="C394"/>
      <c r="D394"/>
    </row>
    <row r="395" spans="1:4" ht="18" x14ac:dyDescent="0.55000000000000004">
      <c r="A395"/>
      <c r="B395"/>
      <c r="C395"/>
      <c r="D395"/>
    </row>
    <row r="396" spans="1:4" ht="18" x14ac:dyDescent="0.55000000000000004">
      <c r="A396"/>
      <c r="B396"/>
      <c r="C396"/>
      <c r="D396"/>
    </row>
    <row r="397" spans="1:4" ht="18" x14ac:dyDescent="0.55000000000000004">
      <c r="A397"/>
      <c r="B397"/>
      <c r="C397"/>
      <c r="D397"/>
    </row>
    <row r="398" spans="1:4" ht="18" x14ac:dyDescent="0.55000000000000004">
      <c r="A398"/>
      <c r="B398"/>
      <c r="C398"/>
      <c r="D398"/>
    </row>
    <row r="399" spans="1:4" ht="18" x14ac:dyDescent="0.55000000000000004">
      <c r="A399"/>
      <c r="B399"/>
      <c r="C399"/>
      <c r="D399"/>
    </row>
    <row r="400" spans="1:4" ht="18" x14ac:dyDescent="0.55000000000000004">
      <c r="A400"/>
      <c r="B400"/>
      <c r="C400"/>
      <c r="D400"/>
    </row>
    <row r="401" spans="1:4" ht="18" x14ac:dyDescent="0.55000000000000004">
      <c r="A401"/>
      <c r="B401"/>
      <c r="C401"/>
      <c r="D401"/>
    </row>
    <row r="402" spans="1:4" ht="18" x14ac:dyDescent="0.55000000000000004">
      <c r="A402"/>
      <c r="B402"/>
      <c r="C402"/>
      <c r="D402"/>
    </row>
    <row r="403" spans="1:4" ht="18" x14ac:dyDescent="0.55000000000000004">
      <c r="A403"/>
      <c r="B403"/>
      <c r="C403"/>
      <c r="D403"/>
    </row>
    <row r="404" spans="1:4" ht="18" x14ac:dyDescent="0.55000000000000004">
      <c r="A404"/>
      <c r="B404"/>
      <c r="C404"/>
      <c r="D404"/>
    </row>
    <row r="405" spans="1:4" ht="18" x14ac:dyDescent="0.55000000000000004">
      <c r="A405"/>
      <c r="B405"/>
      <c r="C405"/>
      <c r="D405"/>
    </row>
    <row r="406" spans="1:4" ht="18" x14ac:dyDescent="0.55000000000000004">
      <c r="A406"/>
      <c r="B406"/>
      <c r="C406"/>
      <c r="D406"/>
    </row>
    <row r="407" spans="1:4" ht="18" x14ac:dyDescent="0.55000000000000004">
      <c r="A407"/>
      <c r="B407"/>
      <c r="C407"/>
      <c r="D407"/>
    </row>
    <row r="408" spans="1:4" ht="18" x14ac:dyDescent="0.55000000000000004">
      <c r="A408"/>
      <c r="B408"/>
      <c r="C408"/>
      <c r="D408"/>
    </row>
    <row r="409" spans="1:4" ht="18" x14ac:dyDescent="0.55000000000000004">
      <c r="A409"/>
      <c r="B409"/>
      <c r="C409"/>
      <c r="D409"/>
    </row>
    <row r="410" spans="1:4" ht="18" x14ac:dyDescent="0.55000000000000004">
      <c r="A410"/>
      <c r="B410"/>
      <c r="C410"/>
      <c r="D410"/>
    </row>
    <row r="411" spans="1:4" ht="18" x14ac:dyDescent="0.55000000000000004">
      <c r="A411"/>
      <c r="B411"/>
      <c r="C411"/>
      <c r="D411"/>
    </row>
    <row r="412" spans="1:4" ht="18" x14ac:dyDescent="0.55000000000000004">
      <c r="A412"/>
      <c r="B412"/>
      <c r="C412"/>
      <c r="D412"/>
    </row>
    <row r="413" spans="1:4" ht="18" x14ac:dyDescent="0.55000000000000004">
      <c r="A413"/>
      <c r="B413"/>
      <c r="C413"/>
      <c r="D413"/>
    </row>
    <row r="414" spans="1:4" ht="18" x14ac:dyDescent="0.55000000000000004">
      <c r="A414"/>
      <c r="B414"/>
      <c r="C414"/>
      <c r="D414"/>
    </row>
    <row r="415" spans="1:4" ht="18" x14ac:dyDescent="0.55000000000000004">
      <c r="A415"/>
      <c r="B415"/>
      <c r="C415"/>
      <c r="D415"/>
    </row>
    <row r="416" spans="1:4" ht="18" x14ac:dyDescent="0.55000000000000004">
      <c r="A416"/>
      <c r="B416"/>
      <c r="C416"/>
      <c r="D416"/>
    </row>
    <row r="417" spans="1:4" ht="18" x14ac:dyDescent="0.55000000000000004">
      <c r="A417"/>
      <c r="B417"/>
      <c r="C417"/>
      <c r="D417"/>
    </row>
    <row r="418" spans="1:4" ht="18" x14ac:dyDescent="0.55000000000000004">
      <c r="A418"/>
      <c r="B418"/>
      <c r="C418"/>
      <c r="D418"/>
    </row>
    <row r="419" spans="1:4" ht="18" x14ac:dyDescent="0.55000000000000004">
      <c r="A419"/>
      <c r="B419"/>
      <c r="C419"/>
      <c r="D419"/>
    </row>
    <row r="420" spans="1:4" ht="18" x14ac:dyDescent="0.55000000000000004">
      <c r="A420"/>
      <c r="B420"/>
      <c r="C420"/>
      <c r="D420"/>
    </row>
    <row r="421" spans="1:4" ht="18" x14ac:dyDescent="0.55000000000000004">
      <c r="A421"/>
      <c r="B421"/>
      <c r="C421"/>
      <c r="D421"/>
    </row>
    <row r="422" spans="1:4" ht="18" x14ac:dyDescent="0.55000000000000004">
      <c r="A422"/>
      <c r="B422"/>
      <c r="C422"/>
      <c r="D422"/>
    </row>
    <row r="423" spans="1:4" ht="18" x14ac:dyDescent="0.55000000000000004">
      <c r="A423"/>
      <c r="B423"/>
      <c r="C423"/>
      <c r="D423"/>
    </row>
    <row r="424" spans="1:4" ht="18" x14ac:dyDescent="0.55000000000000004">
      <c r="A424"/>
      <c r="B424"/>
      <c r="C424"/>
      <c r="D424"/>
    </row>
    <row r="425" spans="1:4" ht="18" x14ac:dyDescent="0.55000000000000004">
      <c r="A425"/>
      <c r="B425"/>
      <c r="C425"/>
      <c r="D425"/>
    </row>
    <row r="426" spans="1:4" ht="18" x14ac:dyDescent="0.55000000000000004">
      <c r="A426"/>
      <c r="B426"/>
      <c r="C426"/>
      <c r="D426"/>
    </row>
    <row r="427" spans="1:4" ht="18" x14ac:dyDescent="0.55000000000000004">
      <c r="A427"/>
      <c r="B427"/>
      <c r="C427"/>
      <c r="D427"/>
    </row>
    <row r="428" spans="1:4" ht="18" x14ac:dyDescent="0.55000000000000004">
      <c r="A428"/>
      <c r="B428"/>
      <c r="C428"/>
      <c r="D428"/>
    </row>
    <row r="429" spans="1:4" ht="18" x14ac:dyDescent="0.55000000000000004">
      <c r="A429"/>
      <c r="B429"/>
      <c r="C429"/>
      <c r="D429"/>
    </row>
    <row r="430" spans="1:4" ht="18" x14ac:dyDescent="0.55000000000000004">
      <c r="A430"/>
      <c r="B430"/>
      <c r="C430"/>
      <c r="D430"/>
    </row>
    <row r="431" spans="1:4" ht="18" x14ac:dyDescent="0.55000000000000004">
      <c r="A431"/>
      <c r="B431"/>
      <c r="C431"/>
      <c r="D431"/>
    </row>
    <row r="432" spans="1:4" ht="18" x14ac:dyDescent="0.55000000000000004">
      <c r="A432"/>
      <c r="B432"/>
      <c r="C432"/>
      <c r="D432"/>
    </row>
    <row r="433" spans="1:4" ht="18" x14ac:dyDescent="0.55000000000000004">
      <c r="A433"/>
      <c r="B433"/>
      <c r="C433"/>
      <c r="D433"/>
    </row>
    <row r="434" spans="1:4" ht="18" x14ac:dyDescent="0.55000000000000004">
      <c r="A434"/>
      <c r="B434"/>
      <c r="C434"/>
      <c r="D434"/>
    </row>
    <row r="435" spans="1:4" ht="18" x14ac:dyDescent="0.55000000000000004">
      <c r="A435"/>
      <c r="B435"/>
      <c r="C435"/>
      <c r="D435"/>
    </row>
    <row r="436" spans="1:4" ht="18" x14ac:dyDescent="0.55000000000000004">
      <c r="A436"/>
      <c r="B436"/>
      <c r="C436"/>
      <c r="D436"/>
    </row>
    <row r="437" spans="1:4" ht="18" x14ac:dyDescent="0.55000000000000004">
      <c r="A437"/>
      <c r="B437"/>
      <c r="C437"/>
      <c r="D437"/>
    </row>
    <row r="438" spans="1:4" ht="18" x14ac:dyDescent="0.55000000000000004">
      <c r="A438"/>
      <c r="B438"/>
      <c r="C438"/>
      <c r="D438"/>
    </row>
    <row r="439" spans="1:4" ht="18" x14ac:dyDescent="0.55000000000000004">
      <c r="A439"/>
      <c r="B439"/>
      <c r="C439"/>
      <c r="D439"/>
    </row>
    <row r="440" spans="1:4" ht="18" x14ac:dyDescent="0.55000000000000004">
      <c r="A440"/>
      <c r="B440"/>
      <c r="C440"/>
      <c r="D440"/>
    </row>
    <row r="441" spans="1:4" ht="18" x14ac:dyDescent="0.55000000000000004">
      <c r="A441"/>
      <c r="B441"/>
      <c r="C441"/>
      <c r="D441"/>
    </row>
    <row r="442" spans="1:4" ht="18" x14ac:dyDescent="0.55000000000000004">
      <c r="A442"/>
      <c r="B442"/>
      <c r="C442"/>
      <c r="D442"/>
    </row>
    <row r="443" spans="1:4" ht="18" x14ac:dyDescent="0.55000000000000004">
      <c r="A443"/>
      <c r="B443"/>
      <c r="C443"/>
      <c r="D443"/>
    </row>
    <row r="444" spans="1:4" ht="18" x14ac:dyDescent="0.55000000000000004">
      <c r="A444"/>
      <c r="B444"/>
      <c r="C444"/>
      <c r="D444"/>
    </row>
    <row r="445" spans="1:4" ht="18" x14ac:dyDescent="0.55000000000000004">
      <c r="A445"/>
      <c r="B445"/>
      <c r="C445"/>
      <c r="D445"/>
    </row>
    <row r="446" spans="1:4" ht="18" x14ac:dyDescent="0.55000000000000004">
      <c r="A446"/>
      <c r="B446"/>
      <c r="C446"/>
      <c r="D446"/>
    </row>
    <row r="447" spans="1:4" ht="18" x14ac:dyDescent="0.55000000000000004">
      <c r="A447"/>
      <c r="B447"/>
      <c r="C447"/>
      <c r="D447"/>
    </row>
    <row r="448" spans="1:4" ht="18" x14ac:dyDescent="0.55000000000000004">
      <c r="A448"/>
      <c r="B448"/>
      <c r="C448"/>
      <c r="D448"/>
    </row>
    <row r="449" spans="1:4" ht="18" x14ac:dyDescent="0.55000000000000004">
      <c r="A449"/>
      <c r="B449"/>
      <c r="C449"/>
      <c r="D449"/>
    </row>
    <row r="450" spans="1:4" ht="18" x14ac:dyDescent="0.55000000000000004">
      <c r="A450"/>
      <c r="B450"/>
      <c r="C450"/>
      <c r="D450"/>
    </row>
    <row r="451" spans="1:4" ht="18" x14ac:dyDescent="0.55000000000000004">
      <c r="A451"/>
      <c r="B451"/>
      <c r="C451"/>
      <c r="D451"/>
    </row>
    <row r="452" spans="1:4" ht="18" x14ac:dyDescent="0.55000000000000004">
      <c r="A452"/>
      <c r="B452"/>
      <c r="C452"/>
      <c r="D452"/>
    </row>
    <row r="453" spans="1:4" ht="18" x14ac:dyDescent="0.55000000000000004">
      <c r="A453"/>
      <c r="B453"/>
      <c r="C453"/>
      <c r="D453"/>
    </row>
    <row r="454" spans="1:4" ht="18" x14ac:dyDescent="0.55000000000000004">
      <c r="A454"/>
      <c r="B454"/>
      <c r="C454"/>
      <c r="D454"/>
    </row>
    <row r="455" spans="1:4" ht="18" x14ac:dyDescent="0.55000000000000004">
      <c r="A455"/>
      <c r="B455"/>
      <c r="C455"/>
      <c r="D455"/>
    </row>
    <row r="456" spans="1:4" ht="18" x14ac:dyDescent="0.55000000000000004">
      <c r="A456"/>
      <c r="B456"/>
      <c r="C456"/>
      <c r="D456"/>
    </row>
    <row r="457" spans="1:4" ht="18" x14ac:dyDescent="0.55000000000000004">
      <c r="A457"/>
      <c r="B457"/>
      <c r="C457"/>
      <c r="D457"/>
    </row>
    <row r="458" spans="1:4" ht="18" x14ac:dyDescent="0.55000000000000004">
      <c r="A458"/>
      <c r="B458"/>
      <c r="C458"/>
      <c r="D458"/>
    </row>
    <row r="459" spans="1:4" ht="18" x14ac:dyDescent="0.55000000000000004">
      <c r="A459"/>
      <c r="B459"/>
      <c r="C459"/>
      <c r="D459"/>
    </row>
    <row r="460" spans="1:4" ht="18" x14ac:dyDescent="0.55000000000000004">
      <c r="A460"/>
      <c r="B460"/>
      <c r="C460"/>
      <c r="D460"/>
    </row>
    <row r="461" spans="1:4" ht="18" x14ac:dyDescent="0.55000000000000004">
      <c r="A461"/>
      <c r="B461"/>
      <c r="C461"/>
      <c r="D461"/>
    </row>
    <row r="462" spans="1:4" ht="18" x14ac:dyDescent="0.55000000000000004">
      <c r="A462"/>
      <c r="B462"/>
      <c r="C462"/>
      <c r="D462"/>
    </row>
    <row r="463" spans="1:4" ht="18" x14ac:dyDescent="0.55000000000000004">
      <c r="A463"/>
      <c r="B463"/>
      <c r="C463"/>
      <c r="D463"/>
    </row>
    <row r="464" spans="1:4" ht="18" x14ac:dyDescent="0.55000000000000004">
      <c r="A464"/>
      <c r="B464"/>
      <c r="C464"/>
      <c r="D464"/>
    </row>
    <row r="465" spans="1:4" ht="18" x14ac:dyDescent="0.55000000000000004">
      <c r="A465"/>
      <c r="B465"/>
      <c r="C465"/>
      <c r="D465"/>
    </row>
    <row r="466" spans="1:4" ht="18" x14ac:dyDescent="0.55000000000000004">
      <c r="A466"/>
      <c r="B466"/>
      <c r="C466"/>
      <c r="D466"/>
    </row>
    <row r="467" spans="1:4" ht="18" x14ac:dyDescent="0.55000000000000004">
      <c r="A467"/>
      <c r="B467"/>
      <c r="C467"/>
      <c r="D467"/>
    </row>
    <row r="468" spans="1:4" ht="18" x14ac:dyDescent="0.55000000000000004">
      <c r="A468"/>
      <c r="B468"/>
      <c r="C468"/>
      <c r="D468"/>
    </row>
    <row r="469" spans="1:4" ht="18" x14ac:dyDescent="0.55000000000000004">
      <c r="A469"/>
      <c r="B469"/>
      <c r="C469"/>
      <c r="D469"/>
    </row>
    <row r="470" spans="1:4" ht="18" x14ac:dyDescent="0.55000000000000004">
      <c r="A470"/>
      <c r="B470"/>
      <c r="C470"/>
      <c r="D470"/>
    </row>
    <row r="471" spans="1:4" ht="18" x14ac:dyDescent="0.55000000000000004">
      <c r="A471"/>
      <c r="B471"/>
      <c r="C471"/>
      <c r="D471"/>
    </row>
    <row r="472" spans="1:4" ht="18" x14ac:dyDescent="0.55000000000000004">
      <c r="A472"/>
      <c r="B472"/>
      <c r="C472"/>
      <c r="D472"/>
    </row>
    <row r="473" spans="1:4" ht="18" x14ac:dyDescent="0.55000000000000004">
      <c r="A473"/>
      <c r="B473"/>
      <c r="C473"/>
      <c r="D473"/>
    </row>
    <row r="474" spans="1:4" ht="18" x14ac:dyDescent="0.55000000000000004">
      <c r="A474"/>
      <c r="B474"/>
      <c r="C474"/>
      <c r="D474"/>
    </row>
    <row r="475" spans="1:4" ht="18" x14ac:dyDescent="0.55000000000000004">
      <c r="A475"/>
      <c r="B475"/>
      <c r="C475"/>
      <c r="D475"/>
    </row>
    <row r="476" spans="1:4" ht="18" x14ac:dyDescent="0.55000000000000004">
      <c r="A476"/>
      <c r="B476"/>
      <c r="C476"/>
      <c r="D476"/>
    </row>
    <row r="477" spans="1:4" ht="18" x14ac:dyDescent="0.55000000000000004">
      <c r="A477"/>
      <c r="B477"/>
      <c r="C477"/>
      <c r="D477"/>
    </row>
    <row r="478" spans="1:4" ht="18" x14ac:dyDescent="0.55000000000000004">
      <c r="A478"/>
      <c r="B478"/>
      <c r="C478"/>
      <c r="D478"/>
    </row>
    <row r="479" spans="1:4" ht="18" x14ac:dyDescent="0.55000000000000004">
      <c r="A479"/>
      <c r="B479"/>
      <c r="C479"/>
      <c r="D479"/>
    </row>
    <row r="480" spans="1:4" ht="18" x14ac:dyDescent="0.55000000000000004">
      <c r="A480"/>
      <c r="B480"/>
      <c r="C480"/>
      <c r="D480"/>
    </row>
    <row r="481" spans="1:4" ht="18" x14ac:dyDescent="0.55000000000000004">
      <c r="A481"/>
      <c r="B481"/>
      <c r="C481"/>
      <c r="D481"/>
    </row>
    <row r="482" spans="1:4" ht="18" x14ac:dyDescent="0.55000000000000004">
      <c r="A482"/>
      <c r="B482"/>
      <c r="C482"/>
      <c r="D482"/>
    </row>
    <row r="483" spans="1:4" ht="18" x14ac:dyDescent="0.55000000000000004">
      <c r="A483"/>
      <c r="B483"/>
      <c r="C483"/>
      <c r="D483"/>
    </row>
    <row r="484" spans="1:4" ht="18" x14ac:dyDescent="0.55000000000000004">
      <c r="A484"/>
      <c r="B484"/>
      <c r="C484"/>
      <c r="D484"/>
    </row>
    <row r="485" spans="1:4" ht="18" x14ac:dyDescent="0.55000000000000004">
      <c r="A485"/>
      <c r="B485"/>
      <c r="C485"/>
      <c r="D485"/>
    </row>
    <row r="486" spans="1:4" ht="18" x14ac:dyDescent="0.55000000000000004">
      <c r="A486"/>
      <c r="B486"/>
      <c r="C486"/>
      <c r="D486"/>
    </row>
    <row r="487" spans="1:4" ht="18" x14ac:dyDescent="0.55000000000000004">
      <c r="A487"/>
      <c r="B487"/>
      <c r="C487"/>
      <c r="D487"/>
    </row>
    <row r="488" spans="1:4" ht="18" x14ac:dyDescent="0.55000000000000004">
      <c r="A488"/>
      <c r="B488"/>
      <c r="C488"/>
      <c r="D488"/>
    </row>
    <row r="489" spans="1:4" ht="18" x14ac:dyDescent="0.55000000000000004">
      <c r="A489"/>
      <c r="B489"/>
      <c r="C489"/>
      <c r="D489"/>
    </row>
    <row r="490" spans="1:4" ht="18" x14ac:dyDescent="0.55000000000000004">
      <c r="A490"/>
      <c r="B490"/>
      <c r="C490"/>
      <c r="D490"/>
    </row>
    <row r="491" spans="1:4" ht="18" x14ac:dyDescent="0.55000000000000004">
      <c r="A491"/>
      <c r="B491"/>
      <c r="C491"/>
      <c r="D491"/>
    </row>
    <row r="492" spans="1:4" ht="18" x14ac:dyDescent="0.55000000000000004">
      <c r="A492"/>
      <c r="B492"/>
      <c r="C492"/>
      <c r="D492"/>
    </row>
    <row r="493" spans="1:4" ht="18" x14ac:dyDescent="0.55000000000000004">
      <c r="A493"/>
      <c r="B493"/>
      <c r="C493"/>
      <c r="D493"/>
    </row>
    <row r="494" spans="1:4" ht="18" x14ac:dyDescent="0.55000000000000004">
      <c r="A494"/>
      <c r="B494"/>
      <c r="C494"/>
      <c r="D494"/>
    </row>
    <row r="495" spans="1:4" ht="18" x14ac:dyDescent="0.55000000000000004">
      <c r="A495"/>
      <c r="B495"/>
      <c r="C495"/>
      <c r="D495"/>
    </row>
    <row r="496" spans="1:4" ht="18" x14ac:dyDescent="0.55000000000000004">
      <c r="A496"/>
      <c r="B496"/>
      <c r="C496"/>
      <c r="D496"/>
    </row>
    <row r="497" spans="1:4" ht="18" x14ac:dyDescent="0.55000000000000004">
      <c r="A497"/>
      <c r="B497"/>
      <c r="C497"/>
      <c r="D497"/>
    </row>
    <row r="498" spans="1:4" ht="18" x14ac:dyDescent="0.55000000000000004">
      <c r="A498"/>
      <c r="B498"/>
      <c r="C498"/>
      <c r="D498"/>
    </row>
    <row r="499" spans="1:4" ht="18" x14ac:dyDescent="0.55000000000000004">
      <c r="A499"/>
      <c r="B499"/>
      <c r="C499"/>
      <c r="D499"/>
    </row>
    <row r="500" spans="1:4" ht="18" x14ac:dyDescent="0.55000000000000004">
      <c r="A500"/>
      <c r="B500"/>
      <c r="C500"/>
      <c r="D500"/>
    </row>
    <row r="501" spans="1:4" ht="18" x14ac:dyDescent="0.55000000000000004">
      <c r="A501"/>
      <c r="B501"/>
      <c r="C501"/>
      <c r="D501"/>
    </row>
    <row r="502" spans="1:4" ht="18" x14ac:dyDescent="0.55000000000000004">
      <c r="A502"/>
      <c r="B502"/>
      <c r="C502"/>
      <c r="D502"/>
    </row>
    <row r="503" spans="1:4" ht="18" x14ac:dyDescent="0.55000000000000004">
      <c r="A503"/>
      <c r="B503"/>
      <c r="C503"/>
      <c r="D503"/>
    </row>
    <row r="504" spans="1:4" ht="18" x14ac:dyDescent="0.55000000000000004">
      <c r="A504"/>
      <c r="B504"/>
      <c r="C504"/>
      <c r="D504"/>
    </row>
    <row r="505" spans="1:4" ht="18" x14ac:dyDescent="0.55000000000000004">
      <c r="A505"/>
      <c r="B505"/>
      <c r="C505"/>
      <c r="D505"/>
    </row>
    <row r="506" spans="1:4" ht="18" x14ac:dyDescent="0.55000000000000004">
      <c r="A506"/>
      <c r="B506"/>
      <c r="C506"/>
      <c r="D506"/>
    </row>
    <row r="507" spans="1:4" ht="18" x14ac:dyDescent="0.55000000000000004">
      <c r="A507"/>
      <c r="B507"/>
      <c r="C507"/>
      <c r="D507"/>
    </row>
    <row r="508" spans="1:4" ht="18" x14ac:dyDescent="0.55000000000000004">
      <c r="A508"/>
      <c r="B508"/>
      <c r="C508"/>
      <c r="D508"/>
    </row>
    <row r="509" spans="1:4" ht="18" x14ac:dyDescent="0.55000000000000004">
      <c r="A509"/>
      <c r="B509"/>
      <c r="C509"/>
      <c r="D509"/>
    </row>
    <row r="510" spans="1:4" ht="18" x14ac:dyDescent="0.55000000000000004">
      <c r="A510"/>
      <c r="B510"/>
      <c r="C510"/>
      <c r="D510"/>
    </row>
    <row r="511" spans="1:4" ht="18" x14ac:dyDescent="0.55000000000000004">
      <c r="A511"/>
      <c r="B511"/>
      <c r="C511"/>
      <c r="D511"/>
    </row>
    <row r="512" spans="1:4" ht="18" x14ac:dyDescent="0.55000000000000004">
      <c r="A512"/>
      <c r="B512"/>
      <c r="C512"/>
      <c r="D512"/>
    </row>
    <row r="513" spans="1:4" ht="18" x14ac:dyDescent="0.55000000000000004">
      <c r="A513"/>
      <c r="B513"/>
      <c r="C513"/>
      <c r="D513"/>
    </row>
    <row r="514" spans="1:4" ht="18" x14ac:dyDescent="0.55000000000000004">
      <c r="A514"/>
      <c r="B514"/>
      <c r="C514"/>
      <c r="D514"/>
    </row>
    <row r="515" spans="1:4" ht="18" x14ac:dyDescent="0.55000000000000004">
      <c r="A515"/>
      <c r="B515"/>
      <c r="C515"/>
      <c r="D515"/>
    </row>
    <row r="516" spans="1:4" ht="18" x14ac:dyDescent="0.55000000000000004">
      <c r="A516"/>
      <c r="B516"/>
      <c r="C516"/>
      <c r="D516"/>
    </row>
    <row r="517" spans="1:4" ht="18" x14ac:dyDescent="0.55000000000000004">
      <c r="A517"/>
      <c r="B517"/>
      <c r="C517"/>
      <c r="D517"/>
    </row>
    <row r="518" spans="1:4" ht="18" x14ac:dyDescent="0.55000000000000004">
      <c r="A518"/>
      <c r="B518"/>
      <c r="C518"/>
      <c r="D518"/>
    </row>
    <row r="519" spans="1:4" ht="18" x14ac:dyDescent="0.55000000000000004">
      <c r="A519"/>
      <c r="B519"/>
      <c r="C519"/>
      <c r="D519"/>
    </row>
    <row r="520" spans="1:4" ht="18" x14ac:dyDescent="0.55000000000000004">
      <c r="A520"/>
      <c r="B520"/>
      <c r="C520"/>
      <c r="D520"/>
    </row>
    <row r="521" spans="1:4" ht="18" x14ac:dyDescent="0.55000000000000004">
      <c r="A521"/>
      <c r="B521"/>
      <c r="C521"/>
      <c r="D521"/>
    </row>
    <row r="522" spans="1:4" ht="18" x14ac:dyDescent="0.55000000000000004">
      <c r="A522"/>
      <c r="B522"/>
      <c r="C522"/>
      <c r="D522"/>
    </row>
    <row r="523" spans="1:4" ht="18" x14ac:dyDescent="0.55000000000000004">
      <c r="A523"/>
      <c r="B523"/>
      <c r="C523"/>
      <c r="D523"/>
    </row>
    <row r="524" spans="1:4" ht="18" x14ac:dyDescent="0.55000000000000004">
      <c r="A524"/>
      <c r="B524"/>
      <c r="C524"/>
      <c r="D524"/>
    </row>
    <row r="525" spans="1:4" ht="18" x14ac:dyDescent="0.55000000000000004">
      <c r="A525"/>
      <c r="B525"/>
      <c r="C525"/>
      <c r="D525"/>
    </row>
    <row r="526" spans="1:4" ht="18" x14ac:dyDescent="0.55000000000000004">
      <c r="A526"/>
      <c r="B526"/>
      <c r="C526"/>
      <c r="D526"/>
    </row>
    <row r="527" spans="1:4" ht="18" x14ac:dyDescent="0.55000000000000004">
      <c r="A527"/>
      <c r="B527"/>
      <c r="C527"/>
      <c r="D527"/>
    </row>
    <row r="528" spans="1:4" ht="18" x14ac:dyDescent="0.55000000000000004">
      <c r="A528"/>
      <c r="B528"/>
      <c r="C528"/>
      <c r="D528"/>
    </row>
    <row r="529" spans="1:4" ht="18" x14ac:dyDescent="0.55000000000000004">
      <c r="A529"/>
      <c r="B529"/>
      <c r="C529"/>
      <c r="D529"/>
    </row>
    <row r="530" spans="1:4" ht="18" x14ac:dyDescent="0.55000000000000004">
      <c r="A530"/>
      <c r="B530"/>
      <c r="C530"/>
      <c r="D530"/>
    </row>
    <row r="531" spans="1:4" ht="18" x14ac:dyDescent="0.55000000000000004">
      <c r="A531"/>
      <c r="B531"/>
      <c r="C531"/>
      <c r="D531"/>
    </row>
    <row r="532" spans="1:4" ht="18" x14ac:dyDescent="0.55000000000000004">
      <c r="A532"/>
      <c r="B532"/>
      <c r="C532"/>
      <c r="D532"/>
    </row>
    <row r="533" spans="1:4" ht="18" x14ac:dyDescent="0.55000000000000004">
      <c r="A533"/>
      <c r="B533"/>
      <c r="C533"/>
      <c r="D533"/>
    </row>
    <row r="534" spans="1:4" ht="18" x14ac:dyDescent="0.55000000000000004">
      <c r="A534"/>
      <c r="B534"/>
      <c r="C534"/>
      <c r="D534"/>
    </row>
    <row r="535" spans="1:4" ht="18" x14ac:dyDescent="0.55000000000000004">
      <c r="A535"/>
      <c r="B535"/>
      <c r="C535"/>
      <c r="D535"/>
    </row>
    <row r="536" spans="1:4" ht="18" x14ac:dyDescent="0.55000000000000004">
      <c r="A536"/>
      <c r="B536"/>
      <c r="C536"/>
      <c r="D536"/>
    </row>
    <row r="537" spans="1:4" ht="18" x14ac:dyDescent="0.55000000000000004">
      <c r="A537"/>
      <c r="B537"/>
      <c r="C537"/>
      <c r="D537"/>
    </row>
    <row r="538" spans="1:4" ht="18" x14ac:dyDescent="0.55000000000000004">
      <c r="A538"/>
      <c r="B538"/>
      <c r="C538"/>
      <c r="D538"/>
    </row>
    <row r="539" spans="1:4" ht="18" x14ac:dyDescent="0.55000000000000004">
      <c r="A539"/>
      <c r="B539"/>
      <c r="C539"/>
      <c r="D539"/>
    </row>
    <row r="540" spans="1:4" ht="18" x14ac:dyDescent="0.55000000000000004">
      <c r="A540"/>
      <c r="B540"/>
      <c r="C540"/>
      <c r="D540"/>
    </row>
    <row r="541" spans="1:4" ht="18" x14ac:dyDescent="0.55000000000000004">
      <c r="A541"/>
      <c r="B541"/>
      <c r="C541"/>
      <c r="D541"/>
    </row>
    <row r="542" spans="1:4" ht="18" x14ac:dyDescent="0.55000000000000004">
      <c r="A542"/>
      <c r="B542"/>
      <c r="C542"/>
      <c r="D542"/>
    </row>
    <row r="543" spans="1:4" ht="18" x14ac:dyDescent="0.55000000000000004">
      <c r="A543"/>
      <c r="B543"/>
      <c r="C543"/>
      <c r="D543"/>
    </row>
    <row r="544" spans="1:4" ht="18" x14ac:dyDescent="0.55000000000000004">
      <c r="A544"/>
      <c r="B544"/>
      <c r="C544"/>
      <c r="D544"/>
    </row>
    <row r="545" spans="1:4" ht="18" x14ac:dyDescent="0.55000000000000004">
      <c r="A545"/>
      <c r="B545"/>
      <c r="C545"/>
      <c r="D545"/>
    </row>
    <row r="546" spans="1:4" ht="18" x14ac:dyDescent="0.55000000000000004">
      <c r="A546"/>
      <c r="B546"/>
      <c r="C546"/>
      <c r="D546"/>
    </row>
    <row r="547" spans="1:4" ht="18" x14ac:dyDescent="0.55000000000000004">
      <c r="A547"/>
      <c r="B547"/>
      <c r="C547"/>
      <c r="D547"/>
    </row>
    <row r="548" spans="1:4" ht="18" x14ac:dyDescent="0.55000000000000004">
      <c r="A548"/>
      <c r="B548"/>
      <c r="C548"/>
      <c r="D548"/>
    </row>
    <row r="549" spans="1:4" ht="18" x14ac:dyDescent="0.55000000000000004">
      <c r="A549"/>
      <c r="B549"/>
      <c r="C549"/>
      <c r="D549"/>
    </row>
    <row r="550" spans="1:4" ht="18" x14ac:dyDescent="0.55000000000000004">
      <c r="A550"/>
      <c r="B550"/>
      <c r="C550"/>
      <c r="D550"/>
    </row>
    <row r="551" spans="1:4" ht="18" x14ac:dyDescent="0.55000000000000004">
      <c r="A551"/>
      <c r="B551"/>
      <c r="C551"/>
      <c r="D551"/>
    </row>
    <row r="552" spans="1:4" ht="18" x14ac:dyDescent="0.55000000000000004">
      <c r="A552"/>
      <c r="B552"/>
      <c r="C552"/>
      <c r="D552"/>
    </row>
    <row r="553" spans="1:4" ht="18" x14ac:dyDescent="0.55000000000000004">
      <c r="A553"/>
      <c r="B553"/>
      <c r="C553"/>
      <c r="D553"/>
    </row>
    <row r="554" spans="1:4" ht="18" x14ac:dyDescent="0.55000000000000004">
      <c r="A554"/>
      <c r="B554"/>
      <c r="C554"/>
      <c r="D554"/>
    </row>
    <row r="555" spans="1:4" ht="18" x14ac:dyDescent="0.55000000000000004">
      <c r="A555"/>
      <c r="B555"/>
      <c r="C555"/>
      <c r="D555"/>
    </row>
    <row r="556" spans="1:4" ht="18" x14ac:dyDescent="0.55000000000000004">
      <c r="A556"/>
      <c r="B556"/>
      <c r="C556"/>
      <c r="D556"/>
    </row>
    <row r="557" spans="1:4" ht="18" x14ac:dyDescent="0.55000000000000004">
      <c r="A557"/>
      <c r="B557"/>
      <c r="C557"/>
      <c r="D557"/>
    </row>
    <row r="558" spans="1:4" ht="18" x14ac:dyDescent="0.55000000000000004">
      <c r="A558"/>
      <c r="B558"/>
      <c r="C558"/>
      <c r="D558"/>
    </row>
    <row r="559" spans="1:4" ht="18" x14ac:dyDescent="0.55000000000000004">
      <c r="A559"/>
      <c r="B559"/>
      <c r="C559"/>
      <c r="D559"/>
    </row>
    <row r="560" spans="1:4" ht="18" x14ac:dyDescent="0.55000000000000004">
      <c r="A560"/>
      <c r="B560"/>
      <c r="C560"/>
      <c r="D560"/>
    </row>
    <row r="561" spans="1:4" ht="18" x14ac:dyDescent="0.55000000000000004">
      <c r="A561"/>
      <c r="B561"/>
      <c r="C561"/>
      <c r="D561"/>
    </row>
    <row r="562" spans="1:4" ht="18" x14ac:dyDescent="0.55000000000000004">
      <c r="A562"/>
      <c r="B562"/>
      <c r="C562"/>
      <c r="D562"/>
    </row>
    <row r="563" spans="1:4" ht="18" x14ac:dyDescent="0.55000000000000004">
      <c r="A563"/>
      <c r="B563"/>
      <c r="C563"/>
      <c r="D563"/>
    </row>
    <row r="564" spans="1:4" ht="18" x14ac:dyDescent="0.55000000000000004">
      <c r="A564"/>
      <c r="B564"/>
      <c r="C564"/>
      <c r="D564"/>
    </row>
    <row r="565" spans="1:4" ht="18" x14ac:dyDescent="0.55000000000000004">
      <c r="A565"/>
      <c r="B565"/>
      <c r="C565"/>
      <c r="D565"/>
    </row>
    <row r="566" spans="1:4" ht="18" x14ac:dyDescent="0.55000000000000004">
      <c r="A566"/>
      <c r="B566"/>
      <c r="C566"/>
      <c r="D566"/>
    </row>
    <row r="567" spans="1:4" ht="18" x14ac:dyDescent="0.55000000000000004">
      <c r="A567"/>
      <c r="B567"/>
      <c r="C567"/>
      <c r="D567"/>
    </row>
    <row r="568" spans="1:4" ht="18" x14ac:dyDescent="0.55000000000000004">
      <c r="A568"/>
      <c r="B568"/>
      <c r="C568"/>
      <c r="D568"/>
    </row>
    <row r="569" spans="1:4" ht="18" x14ac:dyDescent="0.55000000000000004">
      <c r="A569"/>
      <c r="B569"/>
      <c r="C569"/>
      <c r="D569"/>
    </row>
    <row r="570" spans="1:4" ht="18" x14ac:dyDescent="0.55000000000000004">
      <c r="A570"/>
      <c r="B570"/>
      <c r="C570"/>
      <c r="D570"/>
    </row>
    <row r="571" spans="1:4" ht="18" x14ac:dyDescent="0.55000000000000004">
      <c r="A571"/>
      <c r="B571"/>
      <c r="C571"/>
      <c r="D571"/>
    </row>
    <row r="572" spans="1:4" ht="18" x14ac:dyDescent="0.55000000000000004">
      <c r="A572"/>
      <c r="B572"/>
      <c r="C572"/>
      <c r="D572"/>
    </row>
    <row r="573" spans="1:4" ht="18" x14ac:dyDescent="0.55000000000000004">
      <c r="A573"/>
      <c r="B573"/>
      <c r="C573"/>
      <c r="D573"/>
    </row>
    <row r="574" spans="1:4" ht="18" x14ac:dyDescent="0.55000000000000004">
      <c r="A574"/>
      <c r="B574"/>
      <c r="C574"/>
      <c r="D574"/>
    </row>
    <row r="575" spans="1:4" ht="18" x14ac:dyDescent="0.55000000000000004">
      <c r="A575"/>
      <c r="B575"/>
      <c r="C575"/>
      <c r="D575"/>
    </row>
    <row r="576" spans="1:4" ht="18" x14ac:dyDescent="0.55000000000000004">
      <c r="A576"/>
      <c r="B576"/>
      <c r="C576"/>
      <c r="D576"/>
    </row>
    <row r="577" spans="1:4" ht="18" x14ac:dyDescent="0.55000000000000004">
      <c r="A577"/>
      <c r="B577"/>
      <c r="C577"/>
      <c r="D577"/>
    </row>
    <row r="578" spans="1:4" ht="18" x14ac:dyDescent="0.55000000000000004">
      <c r="A578"/>
      <c r="B578"/>
      <c r="C578"/>
      <c r="D578"/>
    </row>
    <row r="579" spans="1:4" ht="18" x14ac:dyDescent="0.55000000000000004">
      <c r="A579"/>
      <c r="B579"/>
      <c r="C579"/>
      <c r="D579"/>
    </row>
    <row r="580" spans="1:4" ht="18" x14ac:dyDescent="0.55000000000000004">
      <c r="A580"/>
      <c r="B580"/>
      <c r="C580"/>
      <c r="D580"/>
    </row>
    <row r="581" spans="1:4" ht="18" x14ac:dyDescent="0.55000000000000004">
      <c r="A581"/>
      <c r="B581"/>
      <c r="C581"/>
      <c r="D581"/>
    </row>
    <row r="582" spans="1:4" ht="18" x14ac:dyDescent="0.55000000000000004">
      <c r="A582"/>
      <c r="B582"/>
      <c r="C582"/>
      <c r="D582"/>
    </row>
    <row r="583" spans="1:4" ht="18" x14ac:dyDescent="0.55000000000000004">
      <c r="A583"/>
      <c r="B583"/>
      <c r="C583"/>
      <c r="D583"/>
    </row>
    <row r="584" spans="1:4" ht="18" x14ac:dyDescent="0.55000000000000004">
      <c r="A584"/>
      <c r="B584"/>
      <c r="C584"/>
      <c r="D584"/>
    </row>
    <row r="585" spans="1:4" ht="18" x14ac:dyDescent="0.55000000000000004">
      <c r="A585"/>
      <c r="B585"/>
      <c r="C585"/>
      <c r="D585"/>
    </row>
    <row r="586" spans="1:4" ht="18" x14ac:dyDescent="0.55000000000000004">
      <c r="A586"/>
      <c r="B586"/>
      <c r="C586"/>
      <c r="D586"/>
    </row>
    <row r="587" spans="1:4" ht="18" x14ac:dyDescent="0.55000000000000004">
      <c r="A587"/>
      <c r="B587"/>
      <c r="C587"/>
      <c r="D587"/>
    </row>
    <row r="588" spans="1:4" ht="18" x14ac:dyDescent="0.55000000000000004">
      <c r="A588"/>
      <c r="B588"/>
      <c r="C588"/>
      <c r="D588"/>
    </row>
    <row r="589" spans="1:4" ht="18" x14ac:dyDescent="0.55000000000000004">
      <c r="A589"/>
      <c r="B589"/>
      <c r="C589"/>
      <c r="D589"/>
    </row>
    <row r="590" spans="1:4" ht="18" x14ac:dyDescent="0.55000000000000004">
      <c r="A590"/>
      <c r="B590"/>
      <c r="C590"/>
      <c r="D590"/>
    </row>
    <row r="591" spans="1:4" ht="18" x14ac:dyDescent="0.55000000000000004">
      <c r="A591"/>
      <c r="B591"/>
      <c r="C591"/>
      <c r="D591"/>
    </row>
    <row r="592" spans="1:4" ht="18" x14ac:dyDescent="0.55000000000000004">
      <c r="A592"/>
      <c r="B592"/>
      <c r="C592"/>
      <c r="D592"/>
    </row>
    <row r="593" spans="1:4" ht="18" x14ac:dyDescent="0.55000000000000004">
      <c r="A593"/>
      <c r="B593"/>
      <c r="C593"/>
      <c r="D593"/>
    </row>
    <row r="594" spans="1:4" ht="18" x14ac:dyDescent="0.55000000000000004">
      <c r="A594"/>
      <c r="B594"/>
      <c r="C594"/>
      <c r="D594"/>
    </row>
    <row r="595" spans="1:4" ht="18" x14ac:dyDescent="0.55000000000000004">
      <c r="A595"/>
      <c r="B595"/>
      <c r="C595"/>
      <c r="D595"/>
    </row>
    <row r="596" spans="1:4" ht="18" x14ac:dyDescent="0.55000000000000004">
      <c r="A596"/>
      <c r="B596"/>
      <c r="C596"/>
      <c r="D596"/>
    </row>
    <row r="597" spans="1:4" ht="18" x14ac:dyDescent="0.55000000000000004">
      <c r="A597"/>
      <c r="B597"/>
      <c r="C597"/>
      <c r="D597"/>
    </row>
    <row r="598" spans="1:4" ht="18" x14ac:dyDescent="0.55000000000000004">
      <c r="A598"/>
      <c r="B598"/>
      <c r="C598"/>
      <c r="D598"/>
    </row>
    <row r="599" spans="1:4" ht="18" x14ac:dyDescent="0.55000000000000004">
      <c r="A599"/>
      <c r="B599"/>
      <c r="C599"/>
      <c r="D599"/>
    </row>
    <row r="600" spans="1:4" ht="18" x14ac:dyDescent="0.55000000000000004">
      <c r="A600"/>
      <c r="B600"/>
      <c r="C600"/>
      <c r="D600"/>
    </row>
    <row r="601" spans="1:4" ht="18" x14ac:dyDescent="0.55000000000000004">
      <c r="A601"/>
      <c r="B601"/>
      <c r="C601"/>
      <c r="D601"/>
    </row>
    <row r="602" spans="1:4" ht="18" x14ac:dyDescent="0.55000000000000004">
      <c r="A602"/>
      <c r="B602"/>
      <c r="C602"/>
      <c r="D602"/>
    </row>
    <row r="603" spans="1:4" ht="18" x14ac:dyDescent="0.55000000000000004">
      <c r="A603"/>
      <c r="B603"/>
      <c r="C603"/>
      <c r="D603"/>
    </row>
    <row r="604" spans="1:4" ht="18" x14ac:dyDescent="0.55000000000000004">
      <c r="A604"/>
      <c r="B604"/>
      <c r="C604"/>
      <c r="D604"/>
    </row>
    <row r="605" spans="1:4" ht="18" x14ac:dyDescent="0.55000000000000004">
      <c r="A605"/>
      <c r="B605"/>
      <c r="C605"/>
      <c r="D605"/>
    </row>
    <row r="606" spans="1:4" ht="18" x14ac:dyDescent="0.55000000000000004">
      <c r="A606"/>
      <c r="B606"/>
      <c r="C606"/>
      <c r="D606"/>
    </row>
    <row r="607" spans="1:4" ht="18" x14ac:dyDescent="0.55000000000000004">
      <c r="A607"/>
      <c r="B607"/>
      <c r="C607"/>
      <c r="D607"/>
    </row>
    <row r="608" spans="1:4" ht="18" x14ac:dyDescent="0.55000000000000004">
      <c r="A608"/>
      <c r="B608"/>
      <c r="C608"/>
      <c r="D608"/>
    </row>
    <row r="609" spans="1:4" ht="18" x14ac:dyDescent="0.55000000000000004">
      <c r="A609"/>
      <c r="B609"/>
      <c r="C609"/>
      <c r="D609"/>
    </row>
    <row r="610" spans="1:4" ht="18" x14ac:dyDescent="0.55000000000000004">
      <c r="A610"/>
      <c r="B610"/>
      <c r="C610"/>
      <c r="D610"/>
    </row>
    <row r="611" spans="1:4" ht="18" x14ac:dyDescent="0.55000000000000004">
      <c r="A611"/>
      <c r="B611"/>
      <c r="C611"/>
      <c r="D611"/>
    </row>
    <row r="612" spans="1:4" ht="18" x14ac:dyDescent="0.55000000000000004">
      <c r="A612"/>
      <c r="B612"/>
      <c r="C612"/>
      <c r="D612"/>
    </row>
    <row r="613" spans="1:4" ht="18" x14ac:dyDescent="0.55000000000000004">
      <c r="A613"/>
      <c r="B613"/>
      <c r="C613"/>
      <c r="D613"/>
    </row>
    <row r="614" spans="1:4" ht="18" x14ac:dyDescent="0.55000000000000004">
      <c r="A614"/>
      <c r="B614"/>
      <c r="C614"/>
      <c r="D614"/>
    </row>
    <row r="615" spans="1:4" ht="18" x14ac:dyDescent="0.55000000000000004">
      <c r="A615"/>
      <c r="B615"/>
      <c r="C615"/>
      <c r="D615"/>
    </row>
    <row r="616" spans="1:4" ht="18" x14ac:dyDescent="0.55000000000000004">
      <c r="A616"/>
      <c r="B616"/>
      <c r="C616"/>
      <c r="D616"/>
    </row>
    <row r="617" spans="1:4" ht="18" x14ac:dyDescent="0.55000000000000004">
      <c r="A617"/>
      <c r="B617"/>
      <c r="C617"/>
      <c r="D617"/>
    </row>
    <row r="618" spans="1:4" ht="18" x14ac:dyDescent="0.55000000000000004">
      <c r="A618"/>
      <c r="B618"/>
      <c r="C618"/>
      <c r="D618"/>
    </row>
    <row r="619" spans="1:4" ht="18" x14ac:dyDescent="0.55000000000000004">
      <c r="A619"/>
      <c r="B619"/>
      <c r="C619"/>
      <c r="D619"/>
    </row>
    <row r="620" spans="1:4" ht="18" x14ac:dyDescent="0.55000000000000004">
      <c r="A620"/>
      <c r="B620"/>
      <c r="C620"/>
      <c r="D620"/>
    </row>
    <row r="621" spans="1:4" ht="18" x14ac:dyDescent="0.55000000000000004">
      <c r="A621"/>
      <c r="B621"/>
      <c r="C621"/>
      <c r="D621"/>
    </row>
    <row r="622" spans="1:4" ht="18" x14ac:dyDescent="0.55000000000000004">
      <c r="A622"/>
      <c r="B622"/>
      <c r="C622"/>
      <c r="D622"/>
    </row>
    <row r="623" spans="1:4" ht="18" x14ac:dyDescent="0.55000000000000004">
      <c r="A623"/>
      <c r="B623"/>
      <c r="C623"/>
      <c r="D623"/>
    </row>
    <row r="624" spans="1:4" ht="18" x14ac:dyDescent="0.55000000000000004">
      <c r="A624"/>
      <c r="B624"/>
      <c r="C624"/>
      <c r="D624"/>
    </row>
    <row r="625" spans="1:4" ht="18" x14ac:dyDescent="0.55000000000000004">
      <c r="A625"/>
      <c r="B625"/>
      <c r="C625"/>
      <c r="D625"/>
    </row>
    <row r="626" spans="1:4" ht="18" x14ac:dyDescent="0.55000000000000004">
      <c r="A626"/>
      <c r="B626"/>
      <c r="C626"/>
      <c r="D626"/>
    </row>
    <row r="627" spans="1:4" ht="18" x14ac:dyDescent="0.55000000000000004">
      <c r="A627"/>
      <c r="B627"/>
      <c r="C627"/>
      <c r="D627"/>
    </row>
    <row r="628" spans="1:4" ht="18" x14ac:dyDescent="0.55000000000000004">
      <c r="A628"/>
      <c r="B628"/>
      <c r="C628"/>
      <c r="D628"/>
    </row>
    <row r="629" spans="1:4" ht="18" x14ac:dyDescent="0.55000000000000004">
      <c r="A629"/>
      <c r="B629"/>
      <c r="C629"/>
      <c r="D629"/>
    </row>
    <row r="630" spans="1:4" ht="18" x14ac:dyDescent="0.55000000000000004">
      <c r="A630"/>
      <c r="B630"/>
      <c r="C630"/>
      <c r="D630"/>
    </row>
    <row r="631" spans="1:4" ht="18" x14ac:dyDescent="0.55000000000000004">
      <c r="A631"/>
      <c r="B631"/>
      <c r="C631"/>
      <c r="D631"/>
    </row>
    <row r="632" spans="1:4" ht="18" x14ac:dyDescent="0.55000000000000004">
      <c r="A632"/>
      <c r="B632"/>
      <c r="C632"/>
      <c r="D632"/>
    </row>
    <row r="633" spans="1:4" ht="18" x14ac:dyDescent="0.55000000000000004">
      <c r="A633"/>
      <c r="B633"/>
      <c r="C633"/>
      <c r="D633"/>
    </row>
    <row r="634" spans="1:4" ht="18" x14ac:dyDescent="0.55000000000000004">
      <c r="A634"/>
      <c r="B634"/>
      <c r="C634"/>
      <c r="D634"/>
    </row>
    <row r="635" spans="1:4" ht="18" x14ac:dyDescent="0.55000000000000004">
      <c r="A635"/>
      <c r="B635"/>
      <c r="C635"/>
      <c r="D635"/>
    </row>
    <row r="636" spans="1:4" ht="18" x14ac:dyDescent="0.55000000000000004">
      <c r="A636"/>
      <c r="B636"/>
      <c r="C636"/>
      <c r="D636"/>
    </row>
    <row r="637" spans="1:4" ht="18" x14ac:dyDescent="0.55000000000000004">
      <c r="A637"/>
      <c r="B637"/>
      <c r="C637"/>
      <c r="D637"/>
    </row>
    <row r="638" spans="1:4" ht="18" x14ac:dyDescent="0.55000000000000004">
      <c r="A638"/>
      <c r="B638"/>
      <c r="C638"/>
      <c r="D638"/>
    </row>
    <row r="639" spans="1:4" ht="18" x14ac:dyDescent="0.55000000000000004">
      <c r="A639"/>
      <c r="B639"/>
      <c r="C639"/>
      <c r="D639"/>
    </row>
    <row r="640" spans="1:4" ht="18" x14ac:dyDescent="0.55000000000000004">
      <c r="A640"/>
      <c r="B640"/>
      <c r="C640"/>
      <c r="D640"/>
    </row>
    <row r="641" spans="1:4" ht="18" x14ac:dyDescent="0.55000000000000004">
      <c r="A641"/>
      <c r="B641"/>
      <c r="C641"/>
      <c r="D641"/>
    </row>
    <row r="642" spans="1:4" ht="18" x14ac:dyDescent="0.55000000000000004">
      <c r="A642"/>
      <c r="B642"/>
      <c r="C642"/>
      <c r="D642"/>
    </row>
    <row r="643" spans="1:4" ht="18" x14ac:dyDescent="0.55000000000000004">
      <c r="A643"/>
      <c r="B643"/>
      <c r="C643"/>
      <c r="D643"/>
    </row>
    <row r="644" spans="1:4" ht="18" x14ac:dyDescent="0.55000000000000004">
      <c r="A644"/>
      <c r="B644"/>
      <c r="C644"/>
      <c r="D644"/>
    </row>
    <row r="645" spans="1:4" ht="18" x14ac:dyDescent="0.55000000000000004">
      <c r="A645"/>
      <c r="B645"/>
      <c r="C645"/>
      <c r="D645"/>
    </row>
    <row r="646" spans="1:4" ht="18" x14ac:dyDescent="0.55000000000000004">
      <c r="A646"/>
      <c r="B646"/>
      <c r="C646"/>
      <c r="D646"/>
    </row>
    <row r="647" spans="1:4" ht="18" x14ac:dyDescent="0.55000000000000004">
      <c r="A647"/>
      <c r="B647"/>
      <c r="C647"/>
      <c r="D647"/>
    </row>
    <row r="648" spans="1:4" ht="18" x14ac:dyDescent="0.55000000000000004">
      <c r="A648"/>
      <c r="B648"/>
      <c r="C648"/>
      <c r="D648"/>
    </row>
    <row r="649" spans="1:4" ht="18" x14ac:dyDescent="0.55000000000000004">
      <c r="A649"/>
      <c r="B649"/>
      <c r="C649"/>
      <c r="D649"/>
    </row>
    <row r="650" spans="1:4" ht="18" x14ac:dyDescent="0.55000000000000004">
      <c r="A650"/>
      <c r="B650"/>
      <c r="C650"/>
      <c r="D650"/>
    </row>
    <row r="651" spans="1:4" ht="18" x14ac:dyDescent="0.55000000000000004">
      <c r="A651"/>
      <c r="B651"/>
      <c r="C651"/>
      <c r="D651"/>
    </row>
    <row r="652" spans="1:4" ht="18" x14ac:dyDescent="0.55000000000000004">
      <c r="A652"/>
      <c r="B652"/>
      <c r="C652"/>
      <c r="D652"/>
    </row>
    <row r="653" spans="1:4" ht="18" x14ac:dyDescent="0.55000000000000004">
      <c r="A653"/>
      <c r="B653"/>
      <c r="C653"/>
      <c r="D653"/>
    </row>
    <row r="654" spans="1:4" ht="18" x14ac:dyDescent="0.55000000000000004">
      <c r="A654"/>
      <c r="B654"/>
      <c r="C654"/>
      <c r="D654"/>
    </row>
    <row r="655" spans="1:4" ht="18" x14ac:dyDescent="0.55000000000000004">
      <c r="A655"/>
      <c r="B655"/>
      <c r="C655"/>
      <c r="D655"/>
    </row>
    <row r="656" spans="1:4" ht="18" x14ac:dyDescent="0.55000000000000004">
      <c r="A656"/>
      <c r="B656"/>
      <c r="C656"/>
      <c r="D656"/>
    </row>
    <row r="657" spans="1:4" ht="18" x14ac:dyDescent="0.55000000000000004">
      <c r="A657"/>
      <c r="B657"/>
      <c r="C657"/>
      <c r="D657"/>
    </row>
    <row r="658" spans="1:4" ht="18" x14ac:dyDescent="0.55000000000000004">
      <c r="A658"/>
      <c r="B658"/>
      <c r="C658"/>
      <c r="D658"/>
    </row>
    <row r="659" spans="1:4" ht="18" x14ac:dyDescent="0.55000000000000004">
      <c r="A659"/>
      <c r="B659"/>
      <c r="C659"/>
      <c r="D659"/>
    </row>
    <row r="660" spans="1:4" ht="18" x14ac:dyDescent="0.55000000000000004">
      <c r="A660"/>
      <c r="B660"/>
      <c r="C660"/>
      <c r="D660"/>
    </row>
    <row r="661" spans="1:4" ht="18" x14ac:dyDescent="0.55000000000000004">
      <c r="A661"/>
      <c r="B661"/>
      <c r="C661"/>
      <c r="D661"/>
    </row>
    <row r="662" spans="1:4" ht="18" x14ac:dyDescent="0.55000000000000004">
      <c r="A662"/>
      <c r="B662"/>
      <c r="C662"/>
      <c r="D662"/>
    </row>
    <row r="663" spans="1:4" ht="18" x14ac:dyDescent="0.55000000000000004">
      <c r="A663"/>
      <c r="B663"/>
      <c r="C663"/>
      <c r="D663"/>
    </row>
    <row r="664" spans="1:4" ht="18" x14ac:dyDescent="0.55000000000000004">
      <c r="A664"/>
      <c r="B664"/>
      <c r="C664"/>
      <c r="D664"/>
    </row>
    <row r="665" spans="1:4" ht="18" x14ac:dyDescent="0.55000000000000004">
      <c r="A665"/>
      <c r="B665"/>
      <c r="C665"/>
      <c r="D665"/>
    </row>
    <row r="666" spans="1:4" ht="18" x14ac:dyDescent="0.55000000000000004">
      <c r="A666"/>
      <c r="B666"/>
      <c r="C666"/>
      <c r="D666"/>
    </row>
    <row r="667" spans="1:4" ht="18" x14ac:dyDescent="0.55000000000000004">
      <c r="A667"/>
      <c r="B667"/>
      <c r="C667"/>
      <c r="D667"/>
    </row>
    <row r="668" spans="1:4" ht="18" x14ac:dyDescent="0.55000000000000004">
      <c r="A668"/>
      <c r="B668"/>
      <c r="C668"/>
      <c r="D668"/>
    </row>
    <row r="669" spans="1:4" ht="18" x14ac:dyDescent="0.55000000000000004">
      <c r="A669"/>
      <c r="B669"/>
      <c r="C669"/>
      <c r="D669"/>
    </row>
    <row r="670" spans="1:4" ht="18" x14ac:dyDescent="0.55000000000000004">
      <c r="A670"/>
      <c r="B670"/>
      <c r="C670"/>
      <c r="D670"/>
    </row>
    <row r="671" spans="1:4" ht="18" x14ac:dyDescent="0.55000000000000004">
      <c r="A671"/>
      <c r="B671"/>
      <c r="C671"/>
      <c r="D671"/>
    </row>
    <row r="672" spans="1:4" ht="18" x14ac:dyDescent="0.55000000000000004">
      <c r="A672"/>
      <c r="B672"/>
      <c r="C672"/>
      <c r="D672"/>
    </row>
    <row r="673" spans="1:4" ht="18" x14ac:dyDescent="0.55000000000000004">
      <c r="A673"/>
      <c r="B673"/>
      <c r="C673"/>
      <c r="D673"/>
    </row>
    <row r="674" spans="1:4" ht="18" x14ac:dyDescent="0.55000000000000004">
      <c r="A674"/>
      <c r="B674"/>
      <c r="C674"/>
      <c r="D674"/>
    </row>
    <row r="675" spans="1:4" ht="18" x14ac:dyDescent="0.55000000000000004">
      <c r="A675"/>
      <c r="B675"/>
      <c r="C675"/>
      <c r="D675"/>
    </row>
    <row r="676" spans="1:4" ht="18" x14ac:dyDescent="0.55000000000000004">
      <c r="A676"/>
      <c r="B676"/>
      <c r="C676"/>
      <c r="D676"/>
    </row>
    <row r="677" spans="1:4" ht="18" x14ac:dyDescent="0.55000000000000004">
      <c r="A677"/>
      <c r="B677"/>
      <c r="C677"/>
      <c r="D677"/>
    </row>
    <row r="678" spans="1:4" ht="18" x14ac:dyDescent="0.55000000000000004">
      <c r="A678"/>
      <c r="B678"/>
      <c r="C678"/>
      <c r="D678"/>
    </row>
    <row r="679" spans="1:4" ht="18" x14ac:dyDescent="0.55000000000000004">
      <c r="A679"/>
      <c r="B679"/>
      <c r="C679"/>
      <c r="D679"/>
    </row>
    <row r="680" spans="1:4" ht="18" x14ac:dyDescent="0.55000000000000004">
      <c r="A680"/>
      <c r="B680"/>
      <c r="C680"/>
      <c r="D680"/>
    </row>
    <row r="681" spans="1:4" ht="18" x14ac:dyDescent="0.55000000000000004">
      <c r="A681"/>
      <c r="B681"/>
      <c r="C681"/>
      <c r="D681"/>
    </row>
    <row r="682" spans="1:4" ht="18" x14ac:dyDescent="0.55000000000000004">
      <c r="A682"/>
      <c r="B682"/>
      <c r="C682"/>
      <c r="D682"/>
    </row>
    <row r="683" spans="1:4" ht="18" x14ac:dyDescent="0.55000000000000004">
      <c r="A683"/>
      <c r="B683"/>
      <c r="C683"/>
      <c r="D683"/>
    </row>
    <row r="684" spans="1:4" ht="18" x14ac:dyDescent="0.55000000000000004">
      <c r="A684"/>
      <c r="B684"/>
      <c r="C684"/>
      <c r="D684"/>
    </row>
    <row r="685" spans="1:4" ht="18" x14ac:dyDescent="0.55000000000000004">
      <c r="A685"/>
      <c r="B685"/>
      <c r="C685"/>
      <c r="D685"/>
    </row>
    <row r="686" spans="1:4" ht="18" x14ac:dyDescent="0.55000000000000004">
      <c r="A686"/>
      <c r="B686"/>
      <c r="C686"/>
      <c r="D686"/>
    </row>
    <row r="687" spans="1:4" ht="18" x14ac:dyDescent="0.55000000000000004">
      <c r="A687"/>
      <c r="B687"/>
      <c r="C687"/>
      <c r="D687"/>
    </row>
    <row r="688" spans="1:4" ht="18" x14ac:dyDescent="0.55000000000000004">
      <c r="A688"/>
      <c r="B688"/>
      <c r="C688"/>
      <c r="D688"/>
    </row>
    <row r="689" spans="1:4" ht="18" x14ac:dyDescent="0.55000000000000004">
      <c r="A689"/>
      <c r="B689"/>
      <c r="C689"/>
      <c r="D689"/>
    </row>
    <row r="690" spans="1:4" ht="18" x14ac:dyDescent="0.55000000000000004">
      <c r="A690"/>
      <c r="B690"/>
      <c r="C690"/>
      <c r="D690"/>
    </row>
    <row r="691" spans="1:4" ht="18" x14ac:dyDescent="0.55000000000000004">
      <c r="A691"/>
      <c r="B691"/>
      <c r="C691"/>
      <c r="D691"/>
    </row>
    <row r="692" spans="1:4" ht="18" x14ac:dyDescent="0.55000000000000004">
      <c r="A692"/>
      <c r="B692"/>
      <c r="C692"/>
      <c r="D692"/>
    </row>
    <row r="693" spans="1:4" ht="18" x14ac:dyDescent="0.55000000000000004">
      <c r="A693"/>
      <c r="B693"/>
      <c r="C693"/>
      <c r="D693"/>
    </row>
    <row r="694" spans="1:4" ht="18" x14ac:dyDescent="0.55000000000000004">
      <c r="A694"/>
      <c r="B694"/>
      <c r="C694"/>
      <c r="D694"/>
    </row>
    <row r="695" spans="1:4" ht="18" x14ac:dyDescent="0.55000000000000004">
      <c r="A695"/>
      <c r="B695"/>
      <c r="C695"/>
      <c r="D695"/>
    </row>
    <row r="696" spans="1:4" ht="18" x14ac:dyDescent="0.55000000000000004">
      <c r="A696"/>
      <c r="B696"/>
      <c r="C696"/>
      <c r="D696"/>
    </row>
    <row r="697" spans="1:4" ht="18" x14ac:dyDescent="0.55000000000000004">
      <c r="A697"/>
      <c r="B697"/>
      <c r="C697"/>
      <c r="D697"/>
    </row>
    <row r="698" spans="1:4" ht="18" x14ac:dyDescent="0.55000000000000004">
      <c r="A698"/>
      <c r="B698"/>
      <c r="C698"/>
      <c r="D698"/>
    </row>
    <row r="699" spans="1:4" ht="18" x14ac:dyDescent="0.55000000000000004">
      <c r="A699"/>
      <c r="B699"/>
      <c r="C699"/>
      <c r="D699"/>
    </row>
    <row r="700" spans="1:4" ht="18" x14ac:dyDescent="0.55000000000000004">
      <c r="A700"/>
      <c r="B700"/>
      <c r="C700"/>
      <c r="D700"/>
    </row>
    <row r="701" spans="1:4" ht="18" x14ac:dyDescent="0.55000000000000004">
      <c r="A701"/>
      <c r="B701"/>
      <c r="C701"/>
      <c r="D701"/>
    </row>
    <row r="702" spans="1:4" ht="18" x14ac:dyDescent="0.55000000000000004">
      <c r="A702"/>
      <c r="B702"/>
      <c r="C702"/>
      <c r="D702"/>
    </row>
    <row r="703" spans="1:4" ht="18" x14ac:dyDescent="0.55000000000000004">
      <c r="A703"/>
      <c r="B703"/>
      <c r="C703"/>
      <c r="D703"/>
    </row>
    <row r="704" spans="1:4" ht="18" x14ac:dyDescent="0.55000000000000004">
      <c r="A704"/>
      <c r="B704"/>
      <c r="C704"/>
      <c r="D704"/>
    </row>
    <row r="705" spans="1:4" ht="18" x14ac:dyDescent="0.55000000000000004">
      <c r="A705"/>
      <c r="B705"/>
      <c r="C705"/>
      <c r="D705"/>
    </row>
    <row r="706" spans="1:4" ht="18" x14ac:dyDescent="0.55000000000000004">
      <c r="A706"/>
      <c r="B706"/>
      <c r="C706"/>
      <c r="D706"/>
    </row>
    <row r="707" spans="1:4" ht="18" x14ac:dyDescent="0.55000000000000004">
      <c r="A707"/>
      <c r="B707"/>
      <c r="C707"/>
      <c r="D707"/>
    </row>
    <row r="708" spans="1:4" ht="18" x14ac:dyDescent="0.55000000000000004">
      <c r="A708"/>
      <c r="B708"/>
      <c r="C708"/>
      <c r="D708"/>
    </row>
    <row r="709" spans="1:4" ht="18" x14ac:dyDescent="0.55000000000000004">
      <c r="A709"/>
      <c r="B709"/>
      <c r="C709"/>
      <c r="D709"/>
    </row>
    <row r="710" spans="1:4" ht="18" x14ac:dyDescent="0.55000000000000004">
      <c r="A710"/>
      <c r="B710"/>
      <c r="C710"/>
      <c r="D710"/>
    </row>
    <row r="711" spans="1:4" ht="18" x14ac:dyDescent="0.55000000000000004">
      <c r="A711"/>
      <c r="B711"/>
      <c r="C711"/>
      <c r="D711"/>
    </row>
    <row r="712" spans="1:4" ht="18" x14ac:dyDescent="0.55000000000000004">
      <c r="A712"/>
      <c r="B712"/>
      <c r="C712"/>
      <c r="D712"/>
    </row>
    <row r="713" spans="1:4" ht="18" x14ac:dyDescent="0.55000000000000004">
      <c r="A713"/>
      <c r="B713"/>
      <c r="C713"/>
      <c r="D713"/>
    </row>
    <row r="714" spans="1:4" ht="18" x14ac:dyDescent="0.55000000000000004">
      <c r="A714"/>
      <c r="B714"/>
      <c r="C714"/>
      <c r="D714"/>
    </row>
    <row r="715" spans="1:4" ht="18" x14ac:dyDescent="0.55000000000000004">
      <c r="A715"/>
      <c r="B715"/>
      <c r="C715"/>
      <c r="D715"/>
    </row>
    <row r="716" spans="1:4" ht="18" x14ac:dyDescent="0.55000000000000004">
      <c r="A716"/>
      <c r="B716"/>
      <c r="C716"/>
      <c r="D716"/>
    </row>
    <row r="717" spans="1:4" ht="18" x14ac:dyDescent="0.55000000000000004">
      <c r="A717"/>
      <c r="B717"/>
      <c r="C717"/>
      <c r="D717"/>
    </row>
    <row r="718" spans="1:4" ht="18" x14ac:dyDescent="0.55000000000000004">
      <c r="A718"/>
      <c r="B718"/>
      <c r="C718"/>
      <c r="D718"/>
    </row>
    <row r="719" spans="1:4" ht="18" x14ac:dyDescent="0.55000000000000004">
      <c r="A719"/>
      <c r="B719"/>
      <c r="C719"/>
      <c r="D719"/>
    </row>
    <row r="720" spans="1:4" ht="18" x14ac:dyDescent="0.55000000000000004">
      <c r="A720"/>
      <c r="B720"/>
      <c r="C720"/>
      <c r="D720"/>
    </row>
    <row r="721" spans="1:4" ht="18" x14ac:dyDescent="0.55000000000000004">
      <c r="A721"/>
      <c r="B721"/>
      <c r="C721"/>
      <c r="D721"/>
    </row>
    <row r="722" spans="1:4" ht="18" x14ac:dyDescent="0.55000000000000004">
      <c r="A722"/>
      <c r="B722"/>
      <c r="C722"/>
      <c r="D722"/>
    </row>
    <row r="723" spans="1:4" ht="18" x14ac:dyDescent="0.55000000000000004">
      <c r="A723"/>
      <c r="B723"/>
      <c r="C723"/>
      <c r="D723"/>
    </row>
    <row r="724" spans="1:4" ht="18" x14ac:dyDescent="0.55000000000000004">
      <c r="A724"/>
      <c r="B724"/>
      <c r="C724"/>
      <c r="D724"/>
    </row>
    <row r="725" spans="1:4" ht="18" x14ac:dyDescent="0.55000000000000004">
      <c r="A725"/>
      <c r="B725"/>
      <c r="C725"/>
      <c r="D725"/>
    </row>
    <row r="726" spans="1:4" ht="18" x14ac:dyDescent="0.55000000000000004">
      <c r="A726"/>
      <c r="B726"/>
      <c r="C726"/>
      <c r="D726"/>
    </row>
    <row r="727" spans="1:4" ht="18" x14ac:dyDescent="0.55000000000000004">
      <c r="A727"/>
      <c r="B727"/>
      <c r="C727"/>
      <c r="D727"/>
    </row>
    <row r="728" spans="1:4" ht="18" x14ac:dyDescent="0.55000000000000004">
      <c r="A728"/>
      <c r="B728"/>
      <c r="C728"/>
      <c r="D728"/>
    </row>
    <row r="729" spans="1:4" ht="18" x14ac:dyDescent="0.55000000000000004">
      <c r="A729"/>
      <c r="B729"/>
      <c r="C729"/>
      <c r="D729"/>
    </row>
    <row r="730" spans="1:4" ht="18" x14ac:dyDescent="0.55000000000000004">
      <c r="A730"/>
      <c r="B730"/>
      <c r="C730"/>
      <c r="D730"/>
    </row>
    <row r="731" spans="1:4" ht="18" x14ac:dyDescent="0.55000000000000004">
      <c r="A731"/>
      <c r="B731"/>
      <c r="C731"/>
      <c r="D731"/>
    </row>
    <row r="732" spans="1:4" ht="18" x14ac:dyDescent="0.55000000000000004">
      <c r="A732"/>
      <c r="B732"/>
      <c r="C732"/>
      <c r="D732"/>
    </row>
    <row r="733" spans="1:4" ht="18" x14ac:dyDescent="0.55000000000000004">
      <c r="A733"/>
      <c r="B733"/>
      <c r="C733"/>
      <c r="D733"/>
    </row>
    <row r="734" spans="1:4" ht="18" x14ac:dyDescent="0.55000000000000004">
      <c r="A734"/>
      <c r="B734"/>
      <c r="C734"/>
      <c r="D734"/>
    </row>
    <row r="735" spans="1:4" ht="18" x14ac:dyDescent="0.55000000000000004">
      <c r="A735"/>
      <c r="B735"/>
      <c r="C735"/>
      <c r="D735"/>
    </row>
    <row r="736" spans="1:4" ht="18" x14ac:dyDescent="0.55000000000000004">
      <c r="A736"/>
      <c r="B736"/>
      <c r="C736"/>
      <c r="D736"/>
    </row>
    <row r="737" spans="1:4" ht="18" x14ac:dyDescent="0.55000000000000004">
      <c r="A737"/>
      <c r="B737"/>
      <c r="C737"/>
      <c r="D737"/>
    </row>
    <row r="738" spans="1:4" ht="18" x14ac:dyDescent="0.55000000000000004">
      <c r="A738"/>
      <c r="B738"/>
      <c r="C738"/>
      <c r="D738"/>
    </row>
    <row r="739" spans="1:4" ht="18" x14ac:dyDescent="0.55000000000000004">
      <c r="A739"/>
      <c r="B739"/>
      <c r="C739"/>
      <c r="D739"/>
    </row>
    <row r="740" spans="1:4" ht="18" x14ac:dyDescent="0.55000000000000004">
      <c r="A740"/>
      <c r="B740"/>
      <c r="C740"/>
      <c r="D740"/>
    </row>
    <row r="741" spans="1:4" ht="18" x14ac:dyDescent="0.55000000000000004">
      <c r="A741"/>
      <c r="B741"/>
      <c r="C741"/>
      <c r="D741"/>
    </row>
    <row r="742" spans="1:4" ht="18" x14ac:dyDescent="0.55000000000000004">
      <c r="A742"/>
      <c r="B742"/>
      <c r="C742"/>
      <c r="D742"/>
    </row>
    <row r="743" spans="1:4" ht="18" x14ac:dyDescent="0.55000000000000004">
      <c r="A743"/>
      <c r="B743"/>
      <c r="C743"/>
      <c r="D743"/>
    </row>
    <row r="744" spans="1:4" ht="18" x14ac:dyDescent="0.55000000000000004">
      <c r="A744"/>
      <c r="B744"/>
      <c r="C744"/>
      <c r="D744"/>
    </row>
    <row r="745" spans="1:4" ht="18" x14ac:dyDescent="0.55000000000000004">
      <c r="A745"/>
      <c r="B745"/>
      <c r="C745"/>
      <c r="D745"/>
    </row>
    <row r="746" spans="1:4" ht="18" x14ac:dyDescent="0.55000000000000004">
      <c r="A746"/>
      <c r="B746"/>
      <c r="C746"/>
      <c r="D746"/>
    </row>
    <row r="747" spans="1:4" ht="18" x14ac:dyDescent="0.55000000000000004">
      <c r="A747"/>
      <c r="B747"/>
      <c r="C747"/>
      <c r="D747"/>
    </row>
    <row r="748" spans="1:4" ht="18" x14ac:dyDescent="0.55000000000000004">
      <c r="A748"/>
      <c r="B748"/>
      <c r="C748"/>
      <c r="D748"/>
    </row>
    <row r="749" spans="1:4" ht="18" x14ac:dyDescent="0.55000000000000004">
      <c r="A749"/>
      <c r="B749"/>
      <c r="C749"/>
      <c r="D749"/>
    </row>
    <row r="750" spans="1:4" ht="18" x14ac:dyDescent="0.55000000000000004">
      <c r="A750"/>
      <c r="B750"/>
      <c r="C750"/>
      <c r="D750"/>
    </row>
    <row r="751" spans="1:4" ht="18" x14ac:dyDescent="0.55000000000000004">
      <c r="A751"/>
      <c r="B751"/>
      <c r="C751"/>
      <c r="D751"/>
    </row>
    <row r="752" spans="1:4" ht="18" x14ac:dyDescent="0.55000000000000004">
      <c r="A752"/>
      <c r="B752"/>
      <c r="C752"/>
      <c r="D752"/>
    </row>
    <row r="753" spans="1:4" ht="18" x14ac:dyDescent="0.55000000000000004">
      <c r="A753"/>
      <c r="B753"/>
      <c r="C753"/>
      <c r="D753"/>
    </row>
    <row r="754" spans="1:4" ht="18" x14ac:dyDescent="0.55000000000000004">
      <c r="A754"/>
      <c r="B754"/>
      <c r="C754"/>
      <c r="D754"/>
    </row>
    <row r="755" spans="1:4" ht="18" x14ac:dyDescent="0.55000000000000004">
      <c r="A755"/>
      <c r="B755"/>
      <c r="C755"/>
      <c r="D755"/>
    </row>
    <row r="756" spans="1:4" ht="18" x14ac:dyDescent="0.55000000000000004">
      <c r="A756"/>
      <c r="B756"/>
      <c r="C756"/>
      <c r="D756"/>
    </row>
    <row r="757" spans="1:4" ht="18" x14ac:dyDescent="0.55000000000000004">
      <c r="A757"/>
      <c r="B757"/>
      <c r="C757"/>
      <c r="D757"/>
    </row>
    <row r="758" spans="1:4" ht="18" x14ac:dyDescent="0.55000000000000004">
      <c r="A758"/>
      <c r="B758"/>
      <c r="C758"/>
      <c r="D758"/>
    </row>
    <row r="759" spans="1:4" ht="18" x14ac:dyDescent="0.55000000000000004">
      <c r="A759"/>
      <c r="B759"/>
      <c r="C759"/>
      <c r="D759"/>
    </row>
    <row r="760" spans="1:4" ht="18" x14ac:dyDescent="0.55000000000000004">
      <c r="A760"/>
      <c r="B760"/>
      <c r="C760"/>
      <c r="D760"/>
    </row>
    <row r="761" spans="1:4" ht="18" x14ac:dyDescent="0.55000000000000004">
      <c r="A761"/>
      <c r="B761"/>
      <c r="C761"/>
      <c r="D761"/>
    </row>
    <row r="762" spans="1:4" ht="18" x14ac:dyDescent="0.55000000000000004">
      <c r="A762"/>
      <c r="B762"/>
      <c r="C762"/>
      <c r="D762"/>
    </row>
    <row r="763" spans="1:4" ht="18" x14ac:dyDescent="0.55000000000000004">
      <c r="A763"/>
      <c r="B763"/>
      <c r="C763"/>
      <c r="D763"/>
    </row>
    <row r="764" spans="1:4" ht="18" x14ac:dyDescent="0.55000000000000004">
      <c r="A764"/>
      <c r="B764"/>
      <c r="C764"/>
      <c r="D764"/>
    </row>
    <row r="765" spans="1:4" ht="18" x14ac:dyDescent="0.55000000000000004">
      <c r="A765"/>
      <c r="B765"/>
      <c r="C765"/>
      <c r="D765"/>
    </row>
    <row r="766" spans="1:4" ht="18" x14ac:dyDescent="0.55000000000000004">
      <c r="A766"/>
      <c r="B766"/>
      <c r="C766"/>
      <c r="D766"/>
    </row>
    <row r="767" spans="1:4" ht="18" x14ac:dyDescent="0.55000000000000004">
      <c r="A767"/>
      <c r="B767"/>
      <c r="C767"/>
      <c r="D767"/>
    </row>
    <row r="768" spans="1:4" ht="18" x14ac:dyDescent="0.55000000000000004">
      <c r="A768"/>
      <c r="B768"/>
      <c r="C768"/>
      <c r="D768"/>
    </row>
    <row r="769" spans="1:4" ht="18" x14ac:dyDescent="0.55000000000000004">
      <c r="A769"/>
      <c r="B769"/>
      <c r="C769"/>
      <c r="D769"/>
    </row>
    <row r="770" spans="1:4" ht="18" x14ac:dyDescent="0.55000000000000004">
      <c r="A770"/>
      <c r="B770"/>
      <c r="C770"/>
      <c r="D770"/>
    </row>
    <row r="771" spans="1:4" ht="18" x14ac:dyDescent="0.55000000000000004">
      <c r="A771"/>
      <c r="B771"/>
      <c r="C771"/>
      <c r="D771"/>
    </row>
    <row r="772" spans="1:4" ht="18" x14ac:dyDescent="0.55000000000000004">
      <c r="A772"/>
      <c r="B772"/>
      <c r="C772"/>
      <c r="D772"/>
    </row>
    <row r="773" spans="1:4" ht="18" x14ac:dyDescent="0.55000000000000004">
      <c r="A773"/>
      <c r="B773"/>
      <c r="C773"/>
      <c r="D773"/>
    </row>
    <row r="774" spans="1:4" ht="18" x14ac:dyDescent="0.55000000000000004">
      <c r="A774"/>
      <c r="B774"/>
      <c r="C774"/>
      <c r="D774"/>
    </row>
    <row r="775" spans="1:4" ht="18" x14ac:dyDescent="0.55000000000000004">
      <c r="A775"/>
      <c r="B775"/>
      <c r="C775"/>
      <c r="D775"/>
    </row>
    <row r="776" spans="1:4" ht="18" x14ac:dyDescent="0.55000000000000004">
      <c r="A776"/>
      <c r="B776"/>
      <c r="C776"/>
      <c r="D776"/>
    </row>
    <row r="777" spans="1:4" ht="18" x14ac:dyDescent="0.55000000000000004">
      <c r="A777"/>
      <c r="B777"/>
      <c r="C777"/>
      <c r="D777"/>
    </row>
    <row r="778" spans="1:4" ht="18" x14ac:dyDescent="0.55000000000000004">
      <c r="A778"/>
      <c r="B778"/>
      <c r="C778"/>
      <c r="D778"/>
    </row>
    <row r="779" spans="1:4" ht="18" x14ac:dyDescent="0.55000000000000004">
      <c r="A779"/>
      <c r="B779"/>
      <c r="C779"/>
      <c r="D779"/>
    </row>
    <row r="780" spans="1:4" ht="18" x14ac:dyDescent="0.55000000000000004">
      <c r="A780"/>
      <c r="B780"/>
      <c r="C780"/>
      <c r="D780"/>
    </row>
    <row r="781" spans="1:4" ht="18" x14ac:dyDescent="0.55000000000000004">
      <c r="A781"/>
      <c r="B781"/>
      <c r="C781"/>
      <c r="D781"/>
    </row>
    <row r="782" spans="1:4" ht="18" x14ac:dyDescent="0.55000000000000004">
      <c r="A782"/>
      <c r="B782"/>
      <c r="C782"/>
      <c r="D782"/>
    </row>
    <row r="783" spans="1:4" ht="18" x14ac:dyDescent="0.55000000000000004">
      <c r="A783"/>
      <c r="B783"/>
      <c r="C783"/>
      <c r="D783"/>
    </row>
    <row r="784" spans="1:4" ht="18" x14ac:dyDescent="0.55000000000000004">
      <c r="A784"/>
      <c r="B784"/>
      <c r="C784"/>
      <c r="D784"/>
    </row>
    <row r="785" spans="1:4" ht="18" x14ac:dyDescent="0.55000000000000004">
      <c r="A785"/>
      <c r="B785"/>
      <c r="C785"/>
      <c r="D785"/>
    </row>
    <row r="786" spans="1:4" ht="18" x14ac:dyDescent="0.55000000000000004">
      <c r="A786"/>
      <c r="B786"/>
      <c r="C786"/>
      <c r="D786"/>
    </row>
    <row r="787" spans="1:4" ht="18" x14ac:dyDescent="0.55000000000000004">
      <c r="A787"/>
      <c r="B787"/>
      <c r="C787"/>
      <c r="D787"/>
    </row>
    <row r="788" spans="1:4" ht="18" x14ac:dyDescent="0.55000000000000004">
      <c r="A788"/>
      <c r="B788"/>
      <c r="C788"/>
      <c r="D788"/>
    </row>
    <row r="789" spans="1:4" ht="18" x14ac:dyDescent="0.55000000000000004">
      <c r="A789"/>
      <c r="B789"/>
      <c r="C789"/>
      <c r="D789"/>
    </row>
    <row r="790" spans="1:4" ht="18" x14ac:dyDescent="0.55000000000000004">
      <c r="A790"/>
      <c r="B790"/>
      <c r="C790"/>
      <c r="D790"/>
    </row>
    <row r="791" spans="1:4" ht="18" x14ac:dyDescent="0.55000000000000004">
      <c r="A791"/>
      <c r="B791"/>
      <c r="C791"/>
      <c r="D791"/>
    </row>
    <row r="792" spans="1:4" ht="18" x14ac:dyDescent="0.55000000000000004">
      <c r="A792"/>
      <c r="B792"/>
      <c r="C792"/>
      <c r="D792"/>
    </row>
    <row r="793" spans="1:4" ht="18" x14ac:dyDescent="0.55000000000000004">
      <c r="A793"/>
      <c r="B793"/>
      <c r="C793"/>
      <c r="D793"/>
    </row>
    <row r="794" spans="1:4" ht="18" x14ac:dyDescent="0.55000000000000004">
      <c r="A794"/>
      <c r="B794"/>
      <c r="C794"/>
      <c r="D794"/>
    </row>
    <row r="795" spans="1:4" ht="18" x14ac:dyDescent="0.55000000000000004">
      <c r="A795"/>
      <c r="B795"/>
      <c r="C795"/>
      <c r="D795"/>
    </row>
    <row r="796" spans="1:4" ht="18" x14ac:dyDescent="0.55000000000000004">
      <c r="A796"/>
      <c r="B796"/>
      <c r="C796"/>
      <c r="D796"/>
    </row>
    <row r="797" spans="1:4" ht="18" x14ac:dyDescent="0.55000000000000004">
      <c r="A797"/>
      <c r="B797"/>
      <c r="C797"/>
      <c r="D797"/>
    </row>
    <row r="798" spans="1:4" ht="18" x14ac:dyDescent="0.55000000000000004">
      <c r="A798"/>
      <c r="B798"/>
      <c r="C798"/>
      <c r="D798"/>
    </row>
    <row r="799" spans="1:4" ht="18" x14ac:dyDescent="0.55000000000000004">
      <c r="A799"/>
      <c r="B799"/>
      <c r="C799"/>
      <c r="D799"/>
    </row>
    <row r="800" spans="1:4" ht="18" x14ac:dyDescent="0.55000000000000004">
      <c r="A800"/>
      <c r="B800"/>
      <c r="C800"/>
      <c r="D800"/>
    </row>
    <row r="801" spans="1:4" ht="18" x14ac:dyDescent="0.55000000000000004">
      <c r="A801"/>
      <c r="B801"/>
      <c r="C801"/>
      <c r="D801"/>
    </row>
    <row r="802" spans="1:4" ht="18" x14ac:dyDescent="0.55000000000000004">
      <c r="A802"/>
      <c r="B802"/>
      <c r="C802"/>
      <c r="D802"/>
    </row>
    <row r="803" spans="1:4" ht="18" x14ac:dyDescent="0.55000000000000004">
      <c r="A803"/>
      <c r="B803"/>
      <c r="C803"/>
      <c r="D803"/>
    </row>
    <row r="804" spans="1:4" ht="18" x14ac:dyDescent="0.55000000000000004">
      <c r="A804"/>
      <c r="B804"/>
      <c r="C804"/>
      <c r="D804"/>
    </row>
    <row r="805" spans="1:4" ht="18" x14ac:dyDescent="0.55000000000000004">
      <c r="A805"/>
      <c r="B805"/>
      <c r="C805"/>
      <c r="D805"/>
    </row>
    <row r="806" spans="1:4" ht="18" x14ac:dyDescent="0.55000000000000004">
      <c r="A806"/>
      <c r="B806"/>
      <c r="C806"/>
      <c r="D806"/>
    </row>
    <row r="807" spans="1:4" ht="18" x14ac:dyDescent="0.55000000000000004">
      <c r="A807"/>
      <c r="B807"/>
      <c r="C807"/>
      <c r="D807"/>
    </row>
    <row r="808" spans="1:4" ht="18" x14ac:dyDescent="0.55000000000000004">
      <c r="A808"/>
      <c r="B808"/>
      <c r="C808"/>
      <c r="D808"/>
    </row>
    <row r="809" spans="1:4" ht="18" x14ac:dyDescent="0.55000000000000004">
      <c r="A809"/>
      <c r="B809"/>
      <c r="C809"/>
      <c r="D809"/>
    </row>
    <row r="810" spans="1:4" ht="18" x14ac:dyDescent="0.55000000000000004">
      <c r="A810"/>
      <c r="B810"/>
      <c r="C810"/>
      <c r="D810"/>
    </row>
    <row r="811" spans="1:4" ht="18" x14ac:dyDescent="0.55000000000000004">
      <c r="A811"/>
      <c r="B811"/>
      <c r="C811"/>
      <c r="D811"/>
    </row>
    <row r="812" spans="1:4" ht="18" x14ac:dyDescent="0.55000000000000004">
      <c r="A812"/>
      <c r="B812"/>
      <c r="C812"/>
      <c r="D812"/>
    </row>
    <row r="813" spans="1:4" ht="18" x14ac:dyDescent="0.55000000000000004">
      <c r="A813"/>
      <c r="B813"/>
      <c r="C813"/>
      <c r="D813"/>
    </row>
    <row r="814" spans="1:4" ht="18" x14ac:dyDescent="0.55000000000000004">
      <c r="A814"/>
      <c r="B814"/>
      <c r="C814"/>
      <c r="D814"/>
    </row>
    <row r="815" spans="1:4" ht="18" x14ac:dyDescent="0.55000000000000004">
      <c r="A815"/>
      <c r="B815"/>
      <c r="C815"/>
      <c r="D815"/>
    </row>
    <row r="816" spans="1:4" ht="18" x14ac:dyDescent="0.55000000000000004">
      <c r="A816"/>
      <c r="B816"/>
      <c r="C816"/>
      <c r="D816"/>
    </row>
    <row r="817" spans="1:4" ht="18" x14ac:dyDescent="0.55000000000000004">
      <c r="A817"/>
      <c r="B817"/>
      <c r="C817"/>
      <c r="D817"/>
    </row>
    <row r="818" spans="1:4" ht="18" x14ac:dyDescent="0.55000000000000004">
      <c r="A818"/>
      <c r="B818"/>
      <c r="C818"/>
      <c r="D818"/>
    </row>
    <row r="819" spans="1:4" ht="18" x14ac:dyDescent="0.55000000000000004">
      <c r="A819"/>
      <c r="B819"/>
      <c r="C819"/>
      <c r="D819"/>
    </row>
    <row r="820" spans="1:4" ht="18" x14ac:dyDescent="0.55000000000000004">
      <c r="A820"/>
      <c r="B820"/>
      <c r="C820"/>
      <c r="D820"/>
    </row>
    <row r="821" spans="1:4" ht="18" x14ac:dyDescent="0.55000000000000004">
      <c r="A821"/>
      <c r="B821"/>
      <c r="C821"/>
      <c r="D821"/>
    </row>
    <row r="822" spans="1:4" ht="18" x14ac:dyDescent="0.55000000000000004">
      <c r="A822"/>
      <c r="B822"/>
      <c r="C822"/>
      <c r="D822"/>
    </row>
    <row r="823" spans="1:4" ht="18" x14ac:dyDescent="0.55000000000000004">
      <c r="A823"/>
      <c r="B823"/>
      <c r="C823"/>
      <c r="D823"/>
    </row>
    <row r="824" spans="1:4" ht="18" x14ac:dyDescent="0.55000000000000004">
      <c r="A824"/>
      <c r="B824"/>
      <c r="C824"/>
      <c r="D824"/>
    </row>
    <row r="825" spans="1:4" ht="18" x14ac:dyDescent="0.55000000000000004">
      <c r="A825"/>
      <c r="B825"/>
      <c r="C825"/>
      <c r="D825"/>
    </row>
    <row r="826" spans="1:4" ht="18" x14ac:dyDescent="0.55000000000000004">
      <c r="A826"/>
      <c r="B826"/>
      <c r="C826"/>
      <c r="D826"/>
    </row>
    <row r="827" spans="1:4" ht="18" x14ac:dyDescent="0.55000000000000004">
      <c r="A827"/>
      <c r="B827"/>
      <c r="C827"/>
      <c r="D827"/>
    </row>
    <row r="828" spans="1:4" ht="18" x14ac:dyDescent="0.55000000000000004">
      <c r="A828"/>
      <c r="B828"/>
      <c r="C828"/>
      <c r="D828"/>
    </row>
    <row r="829" spans="1:4" ht="18" x14ac:dyDescent="0.55000000000000004">
      <c r="A829"/>
      <c r="B829"/>
      <c r="C829"/>
      <c r="D829"/>
    </row>
    <row r="830" spans="1:4" ht="18" x14ac:dyDescent="0.55000000000000004">
      <c r="A830"/>
      <c r="B830"/>
      <c r="C830"/>
      <c r="D830"/>
    </row>
    <row r="831" spans="1:4" ht="18" x14ac:dyDescent="0.55000000000000004">
      <c r="A831"/>
      <c r="B831"/>
      <c r="C831"/>
      <c r="D831"/>
    </row>
    <row r="832" spans="1:4" ht="18" x14ac:dyDescent="0.55000000000000004">
      <c r="A832"/>
      <c r="B832"/>
      <c r="C832"/>
      <c r="D832"/>
    </row>
    <row r="833" spans="1:4" ht="18" x14ac:dyDescent="0.55000000000000004">
      <c r="A833"/>
      <c r="B833"/>
      <c r="C833"/>
      <c r="D833"/>
    </row>
    <row r="834" spans="1:4" ht="18" x14ac:dyDescent="0.55000000000000004">
      <c r="A834"/>
      <c r="B834"/>
      <c r="C834"/>
      <c r="D834"/>
    </row>
    <row r="835" spans="1:4" ht="18" x14ac:dyDescent="0.55000000000000004">
      <c r="A835"/>
      <c r="B835"/>
      <c r="C835"/>
      <c r="D835"/>
    </row>
    <row r="836" spans="1:4" ht="18" x14ac:dyDescent="0.55000000000000004">
      <c r="A836"/>
      <c r="B836"/>
      <c r="C836"/>
      <c r="D836"/>
    </row>
    <row r="837" spans="1:4" ht="18" x14ac:dyDescent="0.55000000000000004">
      <c r="A837"/>
      <c r="B837"/>
      <c r="C837"/>
      <c r="D837"/>
    </row>
    <row r="838" spans="1:4" ht="18" x14ac:dyDescent="0.55000000000000004">
      <c r="A838"/>
      <c r="B838"/>
      <c r="C838"/>
      <c r="D838"/>
    </row>
    <row r="839" spans="1:4" ht="18" x14ac:dyDescent="0.55000000000000004">
      <c r="A839"/>
      <c r="B839"/>
      <c r="C839"/>
      <c r="D839"/>
    </row>
    <row r="840" spans="1:4" ht="18" x14ac:dyDescent="0.55000000000000004">
      <c r="A840"/>
      <c r="B840"/>
      <c r="C840"/>
      <c r="D840"/>
    </row>
    <row r="841" spans="1:4" ht="18" x14ac:dyDescent="0.55000000000000004">
      <c r="A841"/>
      <c r="B841"/>
      <c r="C841"/>
      <c r="D841"/>
    </row>
    <row r="842" spans="1:4" ht="18" x14ac:dyDescent="0.55000000000000004">
      <c r="A842"/>
      <c r="B842"/>
      <c r="C842"/>
      <c r="D842"/>
    </row>
    <row r="843" spans="1:4" ht="18" x14ac:dyDescent="0.55000000000000004">
      <c r="A843"/>
      <c r="B843"/>
      <c r="C843"/>
      <c r="D843"/>
    </row>
    <row r="844" spans="1:4" ht="18" x14ac:dyDescent="0.55000000000000004">
      <c r="A844"/>
      <c r="B844"/>
      <c r="C844"/>
      <c r="D844"/>
    </row>
    <row r="845" spans="1:4" ht="18" x14ac:dyDescent="0.55000000000000004">
      <c r="A845"/>
      <c r="B845"/>
      <c r="C845"/>
      <c r="D845"/>
    </row>
    <row r="846" spans="1:4" ht="18" x14ac:dyDescent="0.55000000000000004">
      <c r="A846"/>
      <c r="B846"/>
      <c r="C846"/>
      <c r="D846"/>
    </row>
    <row r="847" spans="1:4" ht="18" x14ac:dyDescent="0.55000000000000004">
      <c r="A847"/>
      <c r="B847"/>
      <c r="C847"/>
      <c r="D847"/>
    </row>
    <row r="848" spans="1:4" ht="18" x14ac:dyDescent="0.55000000000000004">
      <c r="A848"/>
      <c r="B848"/>
      <c r="C848"/>
      <c r="D848"/>
    </row>
    <row r="849" spans="1:4" ht="18" x14ac:dyDescent="0.55000000000000004">
      <c r="A849"/>
      <c r="B849"/>
      <c r="C849"/>
      <c r="D849"/>
    </row>
    <row r="850" spans="1:4" ht="18" x14ac:dyDescent="0.55000000000000004">
      <c r="A850"/>
      <c r="B850"/>
      <c r="C850"/>
      <c r="D850"/>
    </row>
    <row r="851" spans="1:4" ht="18" x14ac:dyDescent="0.55000000000000004">
      <c r="A851"/>
      <c r="B851"/>
      <c r="C851"/>
      <c r="D851"/>
    </row>
    <row r="852" spans="1:4" ht="18" x14ac:dyDescent="0.55000000000000004">
      <c r="A852"/>
      <c r="B852"/>
      <c r="C852"/>
      <c r="D852"/>
    </row>
    <row r="853" spans="1:4" ht="18" x14ac:dyDescent="0.55000000000000004">
      <c r="A853"/>
      <c r="B853"/>
      <c r="C853"/>
      <c r="D853"/>
    </row>
    <row r="854" spans="1:4" ht="18" x14ac:dyDescent="0.55000000000000004">
      <c r="A854"/>
      <c r="B854"/>
      <c r="C854"/>
      <c r="D854"/>
    </row>
    <row r="855" spans="1:4" ht="18" x14ac:dyDescent="0.55000000000000004">
      <c r="A855"/>
      <c r="B855"/>
      <c r="C855"/>
      <c r="D855"/>
    </row>
    <row r="856" spans="1:4" ht="18" x14ac:dyDescent="0.55000000000000004">
      <c r="A856"/>
      <c r="B856"/>
      <c r="C856"/>
      <c r="D856"/>
    </row>
    <row r="857" spans="1:4" ht="18" x14ac:dyDescent="0.55000000000000004">
      <c r="A857"/>
      <c r="B857"/>
      <c r="C857"/>
      <c r="D857"/>
    </row>
    <row r="858" spans="1:4" ht="18" x14ac:dyDescent="0.55000000000000004">
      <c r="A858"/>
      <c r="B858"/>
      <c r="C858"/>
      <c r="D858"/>
    </row>
    <row r="859" spans="1:4" ht="18" x14ac:dyDescent="0.55000000000000004">
      <c r="A859"/>
      <c r="B859"/>
      <c r="C859"/>
      <c r="D859"/>
    </row>
    <row r="860" spans="1:4" ht="18" x14ac:dyDescent="0.55000000000000004">
      <c r="A860"/>
      <c r="B860"/>
      <c r="C860"/>
      <c r="D860"/>
    </row>
    <row r="861" spans="1:4" ht="18" x14ac:dyDescent="0.55000000000000004">
      <c r="A861"/>
      <c r="B861"/>
      <c r="C861"/>
      <c r="D861"/>
    </row>
    <row r="862" spans="1:4" ht="18" x14ac:dyDescent="0.55000000000000004">
      <c r="A862"/>
      <c r="B862"/>
      <c r="C862"/>
      <c r="D862"/>
    </row>
    <row r="863" spans="1:4" ht="18" x14ac:dyDescent="0.55000000000000004">
      <c r="A863"/>
      <c r="B863"/>
      <c r="C863"/>
      <c r="D863"/>
    </row>
    <row r="864" spans="1:4" ht="18" x14ac:dyDescent="0.55000000000000004">
      <c r="A864"/>
      <c r="B864"/>
      <c r="C864"/>
      <c r="D864"/>
    </row>
    <row r="865" spans="1:4" ht="18" x14ac:dyDescent="0.55000000000000004">
      <c r="A865"/>
      <c r="B865"/>
      <c r="C865"/>
      <c r="D865"/>
    </row>
    <row r="866" spans="1:4" ht="18" x14ac:dyDescent="0.55000000000000004">
      <c r="A866"/>
      <c r="B866"/>
      <c r="C866"/>
      <c r="D866"/>
    </row>
    <row r="867" spans="1:4" ht="18" x14ac:dyDescent="0.55000000000000004">
      <c r="A867"/>
      <c r="B867"/>
      <c r="C867"/>
      <c r="D867"/>
    </row>
    <row r="868" spans="1:4" ht="18" x14ac:dyDescent="0.55000000000000004">
      <c r="A868"/>
      <c r="B868"/>
      <c r="C868"/>
      <c r="D868"/>
    </row>
    <row r="869" spans="1:4" ht="18" x14ac:dyDescent="0.55000000000000004">
      <c r="A869"/>
      <c r="B869"/>
      <c r="C869"/>
      <c r="D869"/>
    </row>
    <row r="870" spans="1:4" ht="18" x14ac:dyDescent="0.55000000000000004">
      <c r="A870"/>
      <c r="B870"/>
      <c r="C870"/>
      <c r="D870"/>
    </row>
    <row r="871" spans="1:4" ht="18" x14ac:dyDescent="0.55000000000000004">
      <c r="A871"/>
      <c r="B871"/>
      <c r="C871"/>
      <c r="D871"/>
    </row>
    <row r="872" spans="1:4" ht="18" x14ac:dyDescent="0.55000000000000004">
      <c r="A872"/>
      <c r="B872"/>
      <c r="C872"/>
      <c r="D872"/>
    </row>
    <row r="873" spans="1:4" ht="18" x14ac:dyDescent="0.55000000000000004">
      <c r="A873"/>
      <c r="B873"/>
      <c r="C873"/>
      <c r="D873"/>
    </row>
    <row r="874" spans="1:4" ht="18" x14ac:dyDescent="0.55000000000000004">
      <c r="A874"/>
      <c r="B874"/>
      <c r="C874"/>
      <c r="D874"/>
    </row>
    <row r="875" spans="1:4" ht="18" x14ac:dyDescent="0.55000000000000004">
      <c r="A875"/>
      <c r="B875"/>
      <c r="C875"/>
      <c r="D875"/>
    </row>
    <row r="876" spans="1:4" ht="18" x14ac:dyDescent="0.55000000000000004">
      <c r="A876"/>
      <c r="B876"/>
      <c r="C876"/>
      <c r="D876"/>
    </row>
    <row r="877" spans="1:4" ht="18" x14ac:dyDescent="0.55000000000000004">
      <c r="A877"/>
      <c r="B877"/>
      <c r="C877"/>
      <c r="D877"/>
    </row>
    <row r="878" spans="1:4" ht="18" x14ac:dyDescent="0.55000000000000004">
      <c r="A878"/>
      <c r="B878"/>
      <c r="C878"/>
      <c r="D878"/>
    </row>
    <row r="879" spans="1:4" ht="18" x14ac:dyDescent="0.55000000000000004">
      <c r="A879"/>
      <c r="B879"/>
      <c r="C879"/>
      <c r="D879"/>
    </row>
    <row r="880" spans="1:4" ht="18" x14ac:dyDescent="0.55000000000000004">
      <c r="A880"/>
      <c r="B880"/>
      <c r="C880"/>
      <c r="D880"/>
    </row>
    <row r="881" spans="1:4" ht="18" x14ac:dyDescent="0.55000000000000004">
      <c r="A881"/>
      <c r="B881"/>
      <c r="C881"/>
      <c r="D881"/>
    </row>
    <row r="882" spans="1:4" ht="18" x14ac:dyDescent="0.55000000000000004">
      <c r="A882"/>
      <c r="B882"/>
      <c r="C882"/>
      <c r="D882"/>
    </row>
    <row r="883" spans="1:4" ht="18" x14ac:dyDescent="0.55000000000000004">
      <c r="A883"/>
      <c r="B883"/>
      <c r="C883"/>
      <c r="D883"/>
    </row>
    <row r="884" spans="1:4" ht="18" x14ac:dyDescent="0.55000000000000004">
      <c r="A884"/>
      <c r="B884"/>
      <c r="C884"/>
      <c r="D884"/>
    </row>
    <row r="885" spans="1:4" ht="18" x14ac:dyDescent="0.55000000000000004">
      <c r="A885"/>
      <c r="B885"/>
      <c r="C885"/>
      <c r="D885"/>
    </row>
    <row r="886" spans="1:4" ht="18" x14ac:dyDescent="0.55000000000000004">
      <c r="A886"/>
      <c r="B886"/>
      <c r="C886"/>
      <c r="D886"/>
    </row>
    <row r="887" spans="1:4" ht="18" x14ac:dyDescent="0.55000000000000004">
      <c r="A887"/>
      <c r="B887"/>
      <c r="C887"/>
      <c r="D887"/>
    </row>
    <row r="888" spans="1:4" ht="18" x14ac:dyDescent="0.55000000000000004">
      <c r="A888"/>
      <c r="B888"/>
      <c r="C888"/>
      <c r="D888"/>
    </row>
    <row r="889" spans="1:4" ht="18" x14ac:dyDescent="0.55000000000000004">
      <c r="A889"/>
      <c r="B889"/>
      <c r="C889"/>
      <c r="D889"/>
    </row>
    <row r="890" spans="1:4" ht="18" x14ac:dyDescent="0.55000000000000004">
      <c r="A890"/>
      <c r="B890"/>
      <c r="C890"/>
      <c r="D890"/>
    </row>
    <row r="891" spans="1:4" ht="18" x14ac:dyDescent="0.55000000000000004">
      <c r="A891"/>
      <c r="B891"/>
      <c r="C891"/>
      <c r="D891"/>
    </row>
    <row r="892" spans="1:4" ht="18" x14ac:dyDescent="0.55000000000000004">
      <c r="A892"/>
      <c r="B892"/>
      <c r="C892"/>
      <c r="D892"/>
    </row>
    <row r="893" spans="1:4" ht="18" x14ac:dyDescent="0.55000000000000004">
      <c r="A893"/>
      <c r="B893"/>
      <c r="C893"/>
      <c r="D893"/>
    </row>
    <row r="894" spans="1:4" ht="18" x14ac:dyDescent="0.55000000000000004">
      <c r="A894"/>
      <c r="B894"/>
      <c r="C894"/>
      <c r="D894"/>
    </row>
    <row r="895" spans="1:4" ht="18" x14ac:dyDescent="0.55000000000000004">
      <c r="A895"/>
      <c r="B895"/>
      <c r="C895"/>
      <c r="D895"/>
    </row>
    <row r="896" spans="1:4" ht="18" x14ac:dyDescent="0.55000000000000004">
      <c r="A896"/>
      <c r="B896"/>
      <c r="C896"/>
      <c r="D896"/>
    </row>
    <row r="897" spans="1:4" ht="18" x14ac:dyDescent="0.55000000000000004">
      <c r="A897"/>
      <c r="B897"/>
      <c r="C897"/>
      <c r="D897"/>
    </row>
    <row r="898" spans="1:4" ht="18" x14ac:dyDescent="0.55000000000000004">
      <c r="A898"/>
      <c r="B898"/>
      <c r="C898"/>
      <c r="D898"/>
    </row>
    <row r="899" spans="1:4" ht="18" x14ac:dyDescent="0.55000000000000004">
      <c r="A899"/>
      <c r="B899"/>
      <c r="C899"/>
      <c r="D899"/>
    </row>
    <row r="900" spans="1:4" ht="18" x14ac:dyDescent="0.55000000000000004">
      <c r="A900"/>
      <c r="B900"/>
      <c r="C900"/>
      <c r="D900"/>
    </row>
    <row r="901" spans="1:4" ht="18" x14ac:dyDescent="0.55000000000000004">
      <c r="A901"/>
      <c r="B901"/>
      <c r="C901"/>
      <c r="D901"/>
    </row>
    <row r="902" spans="1:4" ht="18" x14ac:dyDescent="0.55000000000000004">
      <c r="A902"/>
      <c r="B902"/>
      <c r="C902"/>
      <c r="D902"/>
    </row>
    <row r="903" spans="1:4" ht="18" x14ac:dyDescent="0.55000000000000004">
      <c r="A903"/>
      <c r="B903"/>
      <c r="C903"/>
      <c r="D903"/>
    </row>
    <row r="904" spans="1:4" ht="18" x14ac:dyDescent="0.55000000000000004">
      <c r="A904"/>
      <c r="B904"/>
      <c r="C904"/>
      <c r="D904"/>
    </row>
    <row r="905" spans="1:4" ht="18" x14ac:dyDescent="0.55000000000000004">
      <c r="A905"/>
      <c r="B905"/>
      <c r="C905"/>
      <c r="D905"/>
    </row>
    <row r="906" spans="1:4" ht="18" x14ac:dyDescent="0.55000000000000004">
      <c r="A906"/>
      <c r="B906"/>
      <c r="C906"/>
      <c r="D906"/>
    </row>
    <row r="907" spans="1:4" ht="18" x14ac:dyDescent="0.55000000000000004">
      <c r="A907"/>
      <c r="B907"/>
      <c r="C907"/>
      <c r="D907"/>
    </row>
    <row r="908" spans="1:4" ht="18" x14ac:dyDescent="0.55000000000000004">
      <c r="A908"/>
      <c r="B908"/>
      <c r="C908"/>
      <c r="D908"/>
    </row>
    <row r="909" spans="1:4" ht="18" x14ac:dyDescent="0.55000000000000004">
      <c r="A909"/>
      <c r="B909"/>
      <c r="C909"/>
      <c r="D909"/>
    </row>
    <row r="910" spans="1:4" ht="18" x14ac:dyDescent="0.55000000000000004">
      <c r="A910"/>
      <c r="B910"/>
      <c r="C910"/>
      <c r="D910"/>
    </row>
    <row r="911" spans="1:4" ht="18" x14ac:dyDescent="0.55000000000000004">
      <c r="A911"/>
      <c r="B911"/>
      <c r="C911"/>
      <c r="D911"/>
    </row>
    <row r="912" spans="1:4" ht="18" x14ac:dyDescent="0.55000000000000004">
      <c r="A912"/>
      <c r="B912"/>
      <c r="C912"/>
      <c r="D912"/>
    </row>
    <row r="913" spans="1:4" ht="18" x14ac:dyDescent="0.55000000000000004">
      <c r="A913"/>
      <c r="B913"/>
      <c r="C913"/>
      <c r="D913"/>
    </row>
    <row r="914" spans="1:4" ht="18" x14ac:dyDescent="0.55000000000000004">
      <c r="A914"/>
      <c r="B914"/>
      <c r="C914"/>
      <c r="D914"/>
    </row>
    <row r="915" spans="1:4" ht="18" x14ac:dyDescent="0.55000000000000004">
      <c r="A915"/>
      <c r="B915"/>
      <c r="C915"/>
      <c r="D915"/>
    </row>
    <row r="916" spans="1:4" ht="18" x14ac:dyDescent="0.55000000000000004">
      <c r="A916"/>
      <c r="B916"/>
      <c r="C916"/>
      <c r="D916"/>
    </row>
    <row r="917" spans="1:4" ht="18" x14ac:dyDescent="0.55000000000000004">
      <c r="A917"/>
      <c r="B917"/>
      <c r="C917"/>
      <c r="D917"/>
    </row>
    <row r="918" spans="1:4" ht="18" x14ac:dyDescent="0.55000000000000004">
      <c r="A918"/>
      <c r="B918"/>
      <c r="C918"/>
      <c r="D918"/>
    </row>
    <row r="919" spans="1:4" ht="18" x14ac:dyDescent="0.55000000000000004">
      <c r="A919"/>
      <c r="B919"/>
      <c r="C919"/>
      <c r="D919"/>
    </row>
    <row r="920" spans="1:4" ht="18" x14ac:dyDescent="0.55000000000000004">
      <c r="A920"/>
      <c r="B920"/>
      <c r="C920"/>
      <c r="D920"/>
    </row>
  </sheetData>
  <phoneticPr fontId="1"/>
  <conditionalFormatting sqref="A2:A14">
    <cfRule type="expression" dxfId="16" priority="1" stopIfTrue="1">
      <formula>AND(A2&lt;&gt;"",ISNA(MATCH(A2,区分値リスト,0)))</formula>
    </cfRule>
  </conditionalFormatting>
  <conditionalFormatting sqref="B2:D14">
    <cfRule type="expression" dxfId="15" priority="2" stopIfTrue="1">
      <formula>AND($A2&lt;&gt;"",B2="")</formula>
    </cfRule>
  </conditionalFormatting>
  <conditionalFormatting sqref="A15:A44">
    <cfRule type="expression" dxfId="8" priority="3" stopIfTrue="1">
      <formula>AND(A15&lt;&gt;"",ISNA(MATCH(A15,区分値リスト,0)))</formula>
    </cfRule>
  </conditionalFormatting>
  <conditionalFormatting sqref="B15:D44">
    <cfRule type="expression" dxfId="7" priority="4" stopIfTrue="1">
      <formula>AND($A15&lt;&gt;"",B15="")</formula>
    </cfRule>
  </conditionalFormatting>
  <dataValidations count="6">
    <dataValidation imeMode="on" allowBlank="1" showInputMessage="1" showErrorMessage="1" sqref="D1 A1:B1" xr:uid="{C5AAAFF2-DD94-4110-B09E-5AAB7B674F1C}"/>
    <dataValidation type="list" allowBlank="1" showInputMessage="1" showErrorMessage="1" sqref="A2:A14 A15:A44" xr:uid="{6023A3D2-5A66-44B7-90D4-13F3190857F7}">
      <formula1>区分値リスト</formula1>
    </dataValidation>
    <dataValidation imeMode="on" allowBlank="1" showInputMessage="1" showErrorMessage="1" sqref="C2:D14" xr:uid="{25A6DF4C-1517-4178-8726-80E637900D8A}"/>
    <dataValidation imeMode="off" allowBlank="1" showInputMessage="1" showErrorMessage="1" sqref="B2:B14" xr:uid="{AA7D0BD3-4314-4002-A09C-54906C1B880F}"/>
    <dataValidation imeMode="on" allowBlank="1" showInputMessage="1" showErrorMessage="1" sqref="C15:D44" xr:uid="{26BAF172-31C0-4C40-938B-88043023F8D6}"/>
    <dataValidation imeMode="off" allowBlank="1" showInputMessage="1" showErrorMessage="1" sqref="B15:B44" xr:uid="{87580340-85A4-40FD-952B-511B8046E391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6E77F2-4362-4308-8D72-BEBE6113BA35}">
  <sheetPr codeName="domain_types"/>
  <dimension ref="A1:N14"/>
  <sheetViews>
    <sheetView showGridLines="0" workbookViewId="0">
      <pane ySplit="1" topLeftCell="A2" activePane="bottomLeft" state="frozen"/>
      <selection pane="bottomLeft" activeCell="F2" sqref="F2"/>
    </sheetView>
  </sheetViews>
  <sheetFormatPr defaultRowHeight="15" x14ac:dyDescent="0.55000000000000004"/>
  <cols>
    <col min="1" max="3" width="8.6640625" style="1"/>
    <col min="4" max="4" width="9.75" style="1" customWidth="1"/>
    <col min="5" max="12" width="8.6640625" style="1"/>
    <col min="13" max="13" width="23.4140625" style="1" customWidth="1"/>
    <col min="14" max="14" width="12" style="1" customWidth="1"/>
    <col min="15" max="16384" width="8.6640625" style="1"/>
  </cols>
  <sheetData>
    <row r="1" spans="1:14" ht="30" x14ac:dyDescent="0.55000000000000004">
      <c r="A1" s="14" t="s">
        <v>0</v>
      </c>
      <c r="B1" s="15" t="s">
        <v>57</v>
      </c>
      <c r="C1" s="15" t="s">
        <v>58</v>
      </c>
      <c r="D1" s="15" t="s">
        <v>59</v>
      </c>
      <c r="E1" s="15" t="s">
        <v>60</v>
      </c>
      <c r="F1" s="15" t="s">
        <v>61</v>
      </c>
      <c r="G1" s="15" t="s">
        <v>61</v>
      </c>
      <c r="H1" s="16" t="s">
        <v>1</v>
      </c>
      <c r="I1" s="16" t="s">
        <v>2</v>
      </c>
      <c r="J1" s="16" t="s">
        <v>3</v>
      </c>
      <c r="K1" s="15" t="s">
        <v>74</v>
      </c>
      <c r="L1" s="15" t="s">
        <v>62</v>
      </c>
      <c r="M1" s="16" t="s">
        <v>6</v>
      </c>
      <c r="N1" s="17" t="s">
        <v>11</v>
      </c>
    </row>
    <row r="2" spans="1:14" ht="45" x14ac:dyDescent="0.55000000000000004">
      <c r="A2" s="2" t="s">
        <v>8</v>
      </c>
      <c r="B2" s="2" t="s">
        <v>8</v>
      </c>
      <c r="C2" s="2" t="s">
        <v>36</v>
      </c>
      <c r="D2" s="2" t="s">
        <v>25</v>
      </c>
      <c r="E2" s="2" t="s">
        <v>36</v>
      </c>
      <c r="F2" s="2" t="s">
        <v>38</v>
      </c>
      <c r="G2" s="2" t="s">
        <v>36</v>
      </c>
      <c r="H2" s="3">
        <v>-1</v>
      </c>
      <c r="I2" s="3">
        <v>-1</v>
      </c>
      <c r="J2" s="3">
        <v>-1</v>
      </c>
      <c r="K2" s="3">
        <v>-1</v>
      </c>
      <c r="L2" s="4"/>
      <c r="M2" s="11" t="s">
        <v>65</v>
      </c>
      <c r="N2" s="2" t="s">
        <v>17</v>
      </c>
    </row>
    <row r="3" spans="1:14" ht="45" x14ac:dyDescent="0.55000000000000004">
      <c r="A3" s="5" t="s">
        <v>218</v>
      </c>
      <c r="B3" s="5" t="s">
        <v>25</v>
      </c>
      <c r="C3" s="5" t="s">
        <v>32</v>
      </c>
      <c r="D3" s="5" t="s">
        <v>25</v>
      </c>
      <c r="E3" s="5" t="s">
        <v>39</v>
      </c>
      <c r="F3" s="5" t="s">
        <v>38</v>
      </c>
      <c r="G3" s="5"/>
      <c r="H3" s="6">
        <v>-1</v>
      </c>
      <c r="I3" s="6">
        <v>1</v>
      </c>
      <c r="J3" s="6">
        <v>1</v>
      </c>
      <c r="K3" s="6">
        <v>-1</v>
      </c>
      <c r="L3" s="7">
        <v>1</v>
      </c>
      <c r="M3" s="12" t="s">
        <v>64</v>
      </c>
      <c r="N3" s="5" t="s">
        <v>16</v>
      </c>
    </row>
    <row r="4" spans="1:14" ht="45" x14ac:dyDescent="0.55000000000000004">
      <c r="A4" s="5" t="s">
        <v>7</v>
      </c>
      <c r="B4" s="5" t="s">
        <v>26</v>
      </c>
      <c r="C4" s="5" t="s">
        <v>31</v>
      </c>
      <c r="D4" s="5" t="s">
        <v>40</v>
      </c>
      <c r="E4" s="5" t="s">
        <v>41</v>
      </c>
      <c r="F4" s="5" t="s">
        <v>42</v>
      </c>
      <c r="G4" s="5"/>
      <c r="H4" s="6">
        <v>-1</v>
      </c>
      <c r="I4" s="6">
        <v>-1</v>
      </c>
      <c r="J4" s="6">
        <v>-1</v>
      </c>
      <c r="K4" s="6">
        <v>-1</v>
      </c>
      <c r="L4" s="7">
        <v>1</v>
      </c>
      <c r="M4" s="12" t="s">
        <v>63</v>
      </c>
      <c r="N4" s="5" t="s">
        <v>15</v>
      </c>
    </row>
    <row r="5" spans="1:14" ht="30" x14ac:dyDescent="0.55000000000000004">
      <c r="A5" s="5" t="s">
        <v>9</v>
      </c>
      <c r="B5" s="5" t="s">
        <v>27</v>
      </c>
      <c r="C5" s="5" t="s">
        <v>37</v>
      </c>
      <c r="D5" s="5" t="s">
        <v>25</v>
      </c>
      <c r="E5" s="5" t="s">
        <v>39</v>
      </c>
      <c r="F5" s="5" t="s">
        <v>38</v>
      </c>
      <c r="G5" s="5"/>
      <c r="H5" s="6">
        <v>-1</v>
      </c>
      <c r="I5" s="6">
        <v>0</v>
      </c>
      <c r="J5" s="6">
        <v>0</v>
      </c>
      <c r="K5" s="6">
        <v>-1</v>
      </c>
      <c r="L5" s="7"/>
      <c r="M5" s="12" t="s">
        <v>66</v>
      </c>
      <c r="N5" s="5" t="s">
        <v>13</v>
      </c>
    </row>
    <row r="6" spans="1:14" ht="45" x14ac:dyDescent="0.55000000000000004">
      <c r="A6" s="5" t="s">
        <v>10</v>
      </c>
      <c r="B6" s="5" t="s">
        <v>25</v>
      </c>
      <c r="C6" s="5" t="s">
        <v>32</v>
      </c>
      <c r="D6" s="5" t="s">
        <v>25</v>
      </c>
      <c r="E6" s="5" t="s">
        <v>39</v>
      </c>
      <c r="F6" s="5" t="s">
        <v>38</v>
      </c>
      <c r="G6" s="5"/>
      <c r="H6" s="6">
        <v>-1</v>
      </c>
      <c r="I6" s="6">
        <v>1</v>
      </c>
      <c r="J6" s="6">
        <v>1</v>
      </c>
      <c r="K6" s="6">
        <v>-1</v>
      </c>
      <c r="L6" s="7"/>
      <c r="M6" s="12" t="s">
        <v>67</v>
      </c>
      <c r="N6" s="5" t="s">
        <v>12</v>
      </c>
    </row>
    <row r="7" spans="1:14" ht="45" x14ac:dyDescent="0.55000000000000004">
      <c r="A7" s="5" t="s">
        <v>14</v>
      </c>
      <c r="B7" s="5" t="s">
        <v>28</v>
      </c>
      <c r="C7" s="5" t="s">
        <v>34</v>
      </c>
      <c r="D7" s="5" t="s">
        <v>28</v>
      </c>
      <c r="E7" s="5" t="s">
        <v>52</v>
      </c>
      <c r="F7" s="5" t="s">
        <v>52</v>
      </c>
      <c r="G7" s="5"/>
      <c r="H7" s="6">
        <v>-1</v>
      </c>
      <c r="I7" s="6">
        <v>-1</v>
      </c>
      <c r="J7" s="6">
        <v>-1</v>
      </c>
      <c r="K7" s="6">
        <v>-1</v>
      </c>
      <c r="L7" s="7"/>
      <c r="M7" s="12" t="s">
        <v>68</v>
      </c>
      <c r="N7" s="35" t="s">
        <v>122</v>
      </c>
    </row>
    <row r="8" spans="1:14" x14ac:dyDescent="0.55000000000000004">
      <c r="A8" s="5" t="s">
        <v>19</v>
      </c>
      <c r="B8" s="5" t="s">
        <v>29</v>
      </c>
      <c r="C8" s="5" t="s">
        <v>35</v>
      </c>
      <c r="D8" s="5" t="s">
        <v>25</v>
      </c>
      <c r="E8" s="5" t="s">
        <v>50</v>
      </c>
      <c r="F8" s="5" t="s">
        <v>38</v>
      </c>
      <c r="G8" s="5" t="s">
        <v>223</v>
      </c>
      <c r="H8" s="6">
        <v>-1</v>
      </c>
      <c r="I8" s="6">
        <v>-1</v>
      </c>
      <c r="J8" s="6">
        <v>-1</v>
      </c>
      <c r="K8" s="6">
        <v>-1</v>
      </c>
      <c r="L8" s="7"/>
      <c r="M8" s="12" t="s">
        <v>43</v>
      </c>
      <c r="N8" s="5" t="s">
        <v>54</v>
      </c>
    </row>
    <row r="9" spans="1:14" x14ac:dyDescent="0.55000000000000004">
      <c r="A9" s="5" t="s">
        <v>18</v>
      </c>
      <c r="B9" s="5" t="s">
        <v>29</v>
      </c>
      <c r="C9" s="5" t="s">
        <v>35</v>
      </c>
      <c r="D9" s="5" t="s">
        <v>25</v>
      </c>
      <c r="E9" s="5" t="s">
        <v>51</v>
      </c>
      <c r="F9" s="5" t="s">
        <v>38</v>
      </c>
      <c r="G9" s="5" t="s">
        <v>51</v>
      </c>
      <c r="H9" s="6">
        <v>-1</v>
      </c>
      <c r="I9" s="6">
        <v>-1</v>
      </c>
      <c r="J9" s="6">
        <v>-1</v>
      </c>
      <c r="K9" s="6">
        <v>-1</v>
      </c>
      <c r="L9" s="7"/>
      <c r="M9" s="12" t="s">
        <v>43</v>
      </c>
      <c r="N9" s="5" t="s">
        <v>55</v>
      </c>
    </row>
    <row r="10" spans="1:14" x14ac:dyDescent="0.55000000000000004">
      <c r="A10" s="5" t="s">
        <v>20</v>
      </c>
      <c r="B10" s="5" t="s">
        <v>29</v>
      </c>
      <c r="C10" s="5" t="s">
        <v>35</v>
      </c>
      <c r="D10" s="5" t="s">
        <v>25</v>
      </c>
      <c r="E10" s="5" t="s">
        <v>39</v>
      </c>
      <c r="F10" s="5" t="s">
        <v>38</v>
      </c>
      <c r="G10" s="5"/>
      <c r="H10" s="6">
        <v>1</v>
      </c>
      <c r="I10" s="6">
        <v>-1</v>
      </c>
      <c r="J10" s="6">
        <v>-1</v>
      </c>
      <c r="K10" s="6">
        <v>-1</v>
      </c>
      <c r="L10" s="7"/>
      <c r="M10" s="12" t="s">
        <v>43</v>
      </c>
      <c r="N10" s="5" t="s">
        <v>56</v>
      </c>
    </row>
    <row r="11" spans="1:14" x14ac:dyDescent="0.55000000000000004">
      <c r="A11" s="5" t="s">
        <v>21</v>
      </c>
      <c r="B11" s="5" t="s">
        <v>26</v>
      </c>
      <c r="C11" s="5" t="s">
        <v>31</v>
      </c>
      <c r="D11" s="5" t="s">
        <v>40</v>
      </c>
      <c r="E11" s="5" t="s">
        <v>42</v>
      </c>
      <c r="F11" s="5" t="s">
        <v>42</v>
      </c>
      <c r="G11" s="5"/>
      <c r="H11" s="6">
        <v>-1</v>
      </c>
      <c r="I11" s="6">
        <v>-1</v>
      </c>
      <c r="J11" s="6">
        <v>-1</v>
      </c>
      <c r="K11" s="6">
        <v>0</v>
      </c>
      <c r="L11" s="7"/>
      <c r="M11" s="12" t="s">
        <v>44</v>
      </c>
      <c r="N11" s="5"/>
    </row>
    <row r="12" spans="1:14" x14ac:dyDescent="0.55000000000000004">
      <c r="A12" s="5" t="s">
        <v>22</v>
      </c>
      <c r="B12" s="5" t="s">
        <v>30</v>
      </c>
      <c r="C12" s="5" t="s">
        <v>33</v>
      </c>
      <c r="D12" s="5" t="s">
        <v>40</v>
      </c>
      <c r="E12" s="5" t="s">
        <v>49</v>
      </c>
      <c r="F12" s="5" t="s">
        <v>53</v>
      </c>
      <c r="G12" s="5"/>
      <c r="H12" s="6">
        <v>-1</v>
      </c>
      <c r="I12" s="6">
        <v>-1</v>
      </c>
      <c r="J12" s="6">
        <v>-1</v>
      </c>
      <c r="K12" s="6">
        <v>0</v>
      </c>
      <c r="L12" s="7"/>
      <c r="M12" s="12" t="s">
        <v>45</v>
      </c>
      <c r="N12" s="5"/>
    </row>
    <row r="13" spans="1:14" x14ac:dyDescent="0.55000000000000004">
      <c r="A13" s="5" t="s">
        <v>23</v>
      </c>
      <c r="B13" s="5" t="s">
        <v>25</v>
      </c>
      <c r="C13" s="5" t="s">
        <v>32</v>
      </c>
      <c r="D13" s="5" t="s">
        <v>25</v>
      </c>
      <c r="E13" s="5" t="s">
        <v>39</v>
      </c>
      <c r="F13" s="5" t="s">
        <v>38</v>
      </c>
      <c r="G13" s="5"/>
      <c r="H13" s="6">
        <v>0</v>
      </c>
      <c r="I13" s="6">
        <v>0</v>
      </c>
      <c r="J13" s="6">
        <v>1</v>
      </c>
      <c r="K13" s="6">
        <v>-1</v>
      </c>
      <c r="L13" s="7"/>
      <c r="M13" s="12" t="s">
        <v>46</v>
      </c>
      <c r="N13" s="5"/>
    </row>
    <row r="14" spans="1:14" x14ac:dyDescent="0.55000000000000004">
      <c r="A14" s="8" t="s">
        <v>24</v>
      </c>
      <c r="B14" s="8" t="s">
        <v>25</v>
      </c>
      <c r="C14" s="8" t="s">
        <v>32</v>
      </c>
      <c r="D14" s="8" t="s">
        <v>25</v>
      </c>
      <c r="E14" s="8" t="s">
        <v>48</v>
      </c>
      <c r="F14" s="8" t="s">
        <v>38</v>
      </c>
      <c r="G14" s="8"/>
      <c r="H14" s="9">
        <v>0</v>
      </c>
      <c r="I14" s="9">
        <v>0</v>
      </c>
      <c r="J14" s="9">
        <v>-1</v>
      </c>
      <c r="K14" s="9">
        <v>-1</v>
      </c>
      <c r="L14" s="10"/>
      <c r="M14" s="13" t="s">
        <v>47</v>
      </c>
      <c r="N14" s="8"/>
    </row>
  </sheetData>
  <phoneticPr fontId="1"/>
  <conditionalFormatting sqref="H2:K14">
    <cfRule type="cellIs" dxfId="24" priority="1" operator="equal">
      <formula>0</formula>
    </cfRule>
    <cfRule type="cellIs" dxfId="23" priority="2" operator="lessThan">
      <formula>0</formula>
    </cfRule>
    <cfRule type="cellIs" dxfId="22" priority="3" operator="greaterThan">
      <formula>0</formula>
    </cfRule>
  </conditionalFormatting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ED0CE-20CB-4A16-B7B2-C3D2D0C6CBAE}">
  <sheetPr codeName="work"/>
  <dimension ref="A1:F27"/>
  <sheetViews>
    <sheetView workbookViewId="0">
      <selection activeCell="F2" sqref="F2"/>
    </sheetView>
  </sheetViews>
  <sheetFormatPr defaultRowHeight="18" x14ac:dyDescent="0.55000000000000004"/>
  <cols>
    <col min="1" max="1" width="12.33203125" bestFit="1" customWidth="1"/>
    <col min="4" max="4" width="9.4140625" customWidth="1"/>
    <col min="5" max="5" width="2.9140625" customWidth="1"/>
    <col min="6" max="6" width="10.4140625" bestFit="1" customWidth="1"/>
  </cols>
  <sheetData>
    <row r="1" spans="1:6" x14ac:dyDescent="0.55000000000000004">
      <c r="D1" t="s">
        <v>79</v>
      </c>
      <c r="F1" t="s">
        <v>80</v>
      </c>
    </row>
    <row r="2" spans="1:6" x14ac:dyDescent="0.55000000000000004">
      <c r="B2" s="24" t="s">
        <v>75</v>
      </c>
      <c r="D2" t="s">
        <v>170</v>
      </c>
      <c r="F2" t="s">
        <v>98</v>
      </c>
    </row>
    <row r="3" spans="1:6" x14ac:dyDescent="0.55000000000000004">
      <c r="B3" s="25" t="s">
        <v>76</v>
      </c>
      <c r="D3" t="s">
        <v>239</v>
      </c>
      <c r="F3" t="s">
        <v>129</v>
      </c>
    </row>
    <row r="4" spans="1:6" x14ac:dyDescent="0.55000000000000004">
      <c r="D4" t="s">
        <v>85</v>
      </c>
      <c r="F4" t="s">
        <v>202</v>
      </c>
    </row>
    <row r="5" spans="1:6" x14ac:dyDescent="0.55000000000000004">
      <c r="A5" t="s">
        <v>82</v>
      </c>
      <c r="B5" s="29" t="s">
        <v>84</v>
      </c>
      <c r="D5" t="s">
        <v>94</v>
      </c>
    </row>
    <row r="6" spans="1:6" x14ac:dyDescent="0.55000000000000004">
      <c r="A6" t="s">
        <v>81</v>
      </c>
      <c r="B6" s="29"/>
      <c r="D6" t="s">
        <v>98</v>
      </c>
    </row>
    <row r="7" spans="1:6" x14ac:dyDescent="0.55000000000000004">
      <c r="A7" t="s">
        <v>83</v>
      </c>
      <c r="B7" s="29" t="s">
        <v>84</v>
      </c>
      <c r="D7" t="s">
        <v>113</v>
      </c>
    </row>
    <row r="8" spans="1:6" x14ac:dyDescent="0.55000000000000004">
      <c r="D8" t="s">
        <v>117</v>
      </c>
    </row>
    <row r="9" spans="1:6" x14ac:dyDescent="0.55000000000000004">
      <c r="D9" t="s">
        <v>129</v>
      </c>
    </row>
    <row r="10" spans="1:6" x14ac:dyDescent="0.55000000000000004">
      <c r="D10" t="s">
        <v>130</v>
      </c>
    </row>
    <row r="11" spans="1:6" x14ac:dyDescent="0.55000000000000004">
      <c r="D11" t="s">
        <v>131</v>
      </c>
    </row>
    <row r="12" spans="1:6" x14ac:dyDescent="0.55000000000000004">
      <c r="D12" t="s">
        <v>171</v>
      </c>
    </row>
    <row r="13" spans="1:6" x14ac:dyDescent="0.55000000000000004">
      <c r="D13" t="s">
        <v>133</v>
      </c>
    </row>
    <row r="14" spans="1:6" x14ac:dyDescent="0.55000000000000004">
      <c r="D14" t="s">
        <v>135</v>
      </c>
    </row>
    <row r="15" spans="1:6" x14ac:dyDescent="0.55000000000000004">
      <c r="D15" t="s">
        <v>136</v>
      </c>
    </row>
    <row r="16" spans="1:6" x14ac:dyDescent="0.55000000000000004">
      <c r="D16" t="s">
        <v>215</v>
      </c>
    </row>
    <row r="17" spans="4:4" x14ac:dyDescent="0.55000000000000004">
      <c r="D17" t="s">
        <v>168</v>
      </c>
    </row>
    <row r="18" spans="4:4" x14ac:dyDescent="0.55000000000000004">
      <c r="D18" t="s">
        <v>216</v>
      </c>
    </row>
    <row r="19" spans="4:4" x14ac:dyDescent="0.55000000000000004">
      <c r="D19" t="s">
        <v>169</v>
      </c>
    </row>
    <row r="20" spans="4:4" x14ac:dyDescent="0.55000000000000004">
      <c r="D20" t="s">
        <v>172</v>
      </c>
    </row>
    <row r="21" spans="4:4" x14ac:dyDescent="0.55000000000000004">
      <c r="D21" t="s">
        <v>173</v>
      </c>
    </row>
    <row r="22" spans="4:4" x14ac:dyDescent="0.55000000000000004">
      <c r="D22" t="s">
        <v>196</v>
      </c>
    </row>
    <row r="23" spans="4:4" x14ac:dyDescent="0.55000000000000004">
      <c r="D23" t="s">
        <v>201</v>
      </c>
    </row>
    <row r="24" spans="4:4" x14ac:dyDescent="0.55000000000000004">
      <c r="D24" t="s">
        <v>202</v>
      </c>
    </row>
    <row r="25" spans="4:4" x14ac:dyDescent="0.55000000000000004">
      <c r="D25" t="s">
        <v>221</v>
      </c>
    </row>
    <row r="26" spans="4:4" x14ac:dyDescent="0.55000000000000004">
      <c r="D26" t="s">
        <v>222</v>
      </c>
    </row>
    <row r="27" spans="4:4" x14ac:dyDescent="0.55000000000000004">
      <c r="D27" t="s">
        <v>230</v>
      </c>
    </row>
  </sheetData>
  <phoneticPr fontId="1"/>
  <dataValidations count="3">
    <dataValidation type="list" allowBlank="1" showInputMessage="1" showErrorMessage="1" sqref="B6" xr:uid="{1FAE1228-AC1E-4102-8409-6A9348838DD8}">
      <formula1>区分値リスト</formula1>
    </dataValidation>
    <dataValidation type="list" allowBlank="1" showInputMessage="1" showErrorMessage="1" sqref="B5" xr:uid="{AF345191-A434-42EA-B1DE-D1534DDC1310}">
      <formula1>項目リスト</formula1>
    </dataValidation>
    <dataValidation type="list" allowBlank="1" showInputMessage="1" showErrorMessage="1" sqref="B7" xr:uid="{35AB0C07-97E1-497B-BFA8-917583513758}">
      <formula1>項目名KEY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</vt:i4>
      </vt:variant>
      <vt:variant>
        <vt:lpstr>名前付き一覧</vt:lpstr>
      </vt:variant>
      <vt:variant>
        <vt:i4>4</vt:i4>
      </vt:variant>
    </vt:vector>
  </HeadingPairs>
  <TitlesOfParts>
    <vt:vector size="9" baseType="lpstr">
      <vt:lpstr>項目</vt:lpstr>
      <vt:lpstr>別名</vt:lpstr>
      <vt:lpstr>区分値</vt:lpstr>
      <vt:lpstr>タイプ</vt:lpstr>
      <vt:lpstr>WORK</vt:lpstr>
      <vt:lpstr>ドメインタイプDATA</vt:lpstr>
      <vt:lpstr>ドメインタイプKEY</vt:lpstr>
      <vt:lpstr>入力必須</vt:lpstr>
      <vt:lpstr>入力不可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2022-06-19T22:43:25Z</dcterms:created>
  <dcterms:modified xsi:type="dcterms:W3CDTF">2024-02-07T23:37:48Z</dcterms:modified>
</cp:coreProperties>
</file>