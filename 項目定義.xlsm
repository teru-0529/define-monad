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3CC657A8-CEDD-4C3E-B772-720A3642B458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5" i="3"/>
  <c r="C13" i="3"/>
  <c r="C21" i="3"/>
  <c r="C29" i="3"/>
  <c r="C45" i="3"/>
  <c r="C38" i="3"/>
  <c r="C7" i="3"/>
  <c r="C47" i="3"/>
  <c r="C8" i="3"/>
  <c r="C16" i="3"/>
  <c r="C24" i="3"/>
  <c r="C32" i="3"/>
  <c r="C40" i="3"/>
  <c r="C48" i="3"/>
  <c r="C56" i="3"/>
  <c r="C17" i="3"/>
  <c r="C33" i="3"/>
  <c r="C41" i="3"/>
  <c r="C57" i="3"/>
  <c r="C10" i="3"/>
  <c r="C26" i="3"/>
  <c r="C42" i="3"/>
  <c r="C11" i="3"/>
  <c r="C19" i="3"/>
  <c r="C35" i="3"/>
  <c r="C51" i="3"/>
  <c r="C12" i="3"/>
  <c r="C28" i="3"/>
  <c r="C36" i="3"/>
  <c r="C52" i="3"/>
  <c r="C6" i="3"/>
  <c r="C22" i="3"/>
  <c r="C46" i="3"/>
  <c r="C15" i="3"/>
  <c r="C31" i="3"/>
  <c r="C55" i="3"/>
  <c r="C9" i="3"/>
  <c r="C25" i="3"/>
  <c r="C49" i="3"/>
  <c r="C18" i="3"/>
  <c r="C34" i="3"/>
  <c r="C50" i="3"/>
  <c r="C3" i="3"/>
  <c r="C27" i="3"/>
  <c r="C43" i="3"/>
  <c r="C4" i="3"/>
  <c r="C20" i="3"/>
  <c r="C44" i="3"/>
  <c r="C37" i="3"/>
  <c r="C53" i="3"/>
  <c r="C14" i="3"/>
  <c r="C30" i="3"/>
  <c r="C54" i="3"/>
  <c r="C23" i="3"/>
  <c r="C39" i="3"/>
  <c r="H12" i="1" a="1"/>
  <c r="K7" i="1" a="1"/>
  <c r="J11" i="1" a="1"/>
  <c r="J3" i="1" a="1"/>
  <c r="I9" i="1" a="1"/>
  <c r="H11" i="1" a="1"/>
  <c r="H2" i="1" a="1"/>
  <c r="K13" i="1" a="1"/>
  <c r="K5" i="1" a="1"/>
  <c r="J9" i="1" a="1"/>
  <c r="H13" i="1" a="1"/>
  <c r="I7" i="1" a="1"/>
  <c r="H9" i="1" a="1"/>
  <c r="J2" i="1" a="1"/>
  <c r="J13" i="1" a="1"/>
  <c r="I3" i="1" a="1"/>
  <c r="K8" i="1" a="1"/>
  <c r="J12" i="1" a="1"/>
  <c r="J4" i="1" a="1"/>
  <c r="I10" i="1" a="1"/>
  <c r="H14" i="1" a="1"/>
  <c r="H4" i="1" a="1"/>
  <c r="K14" i="1" a="1"/>
  <c r="K6" i="1" a="1"/>
  <c r="J10" i="1" a="1"/>
  <c r="H3" i="1" a="1"/>
  <c r="I8" i="1" a="1"/>
  <c r="H10" i="1" a="1"/>
  <c r="K2" i="1" a="1"/>
  <c r="K4" i="1" a="1"/>
  <c r="I14" i="1" a="1"/>
  <c r="I2" i="1" a="1"/>
  <c r="K11" i="1" a="1"/>
  <c r="J7" i="1" a="1"/>
  <c r="I5" i="1" a="1"/>
  <c r="K12" i="1" a="1"/>
  <c r="J8" i="1" a="1"/>
  <c r="H8" i="1" a="1"/>
  <c r="K3" i="1" a="1"/>
  <c r="I13" i="1" a="1"/>
  <c r="H7" i="1" a="1"/>
  <c r="I6" i="1" a="1"/>
  <c r="K10" i="1" a="1"/>
  <c r="J14" i="1" a="1"/>
  <c r="J6" i="1" a="1"/>
  <c r="I12" i="1" a="1"/>
  <c r="I4" i="1" a="1"/>
  <c r="H6" i="1" a="1"/>
  <c r="K9" i="1" a="1"/>
  <c r="J5" i="1" a="1"/>
  <c r="I11" i="1" a="1"/>
  <c r="H5" i="1" a="1"/>
  <c r="H4" i="1" l="1"/>
  <c r="H5" i="1"/>
  <c r="H6" i="1"/>
  <c r="H7" i="1"/>
  <c r="H8" i="1"/>
  <c r="H9" i="1"/>
  <c r="H10" i="1"/>
  <c r="H11" i="1"/>
  <c r="H14" i="1"/>
  <c r="I3" i="1"/>
  <c r="I4" i="1"/>
  <c r="I5" i="1"/>
  <c r="I6" i="1"/>
  <c r="I7" i="1"/>
  <c r="I8" i="1"/>
  <c r="I9" i="1"/>
  <c r="I10" i="1"/>
  <c r="I11" i="1"/>
  <c r="I12" i="1"/>
  <c r="I13" i="1"/>
  <c r="I14" i="1"/>
  <c r="H13" i="1"/>
  <c r="H3" i="1"/>
  <c r="J3" i="1"/>
  <c r="J4" i="1"/>
  <c r="J5" i="1"/>
  <c r="J6" i="1"/>
  <c r="J7" i="1"/>
  <c r="J8" i="1"/>
  <c r="J9" i="1"/>
  <c r="J10" i="1"/>
  <c r="J11" i="1"/>
  <c r="J12" i="1"/>
  <c r="J13" i="1"/>
  <c r="J14" i="1"/>
  <c r="K3" i="1"/>
  <c r="K4" i="1"/>
  <c r="K5" i="1"/>
  <c r="K6" i="1"/>
  <c r="K7" i="1"/>
  <c r="K8" i="1"/>
  <c r="K9" i="1"/>
  <c r="K10" i="1"/>
  <c r="K11" i="1"/>
  <c r="K12" i="1"/>
  <c r="K13" i="1"/>
  <c r="K14" i="1"/>
  <c r="H12" i="1"/>
  <c r="H2" i="1"/>
  <c r="K2" i="1"/>
  <c r="J2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<sst xmlns="http://schemas.openxmlformats.org/spreadsheetml/2006/main" count="376" uniqueCount="239">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</sst>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6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31"/>
  <sheetViews>
    <sheetView showGridLines="0" tabSelected="1" zoomScaleNormal="100" workbookViewId="0">
      <pane ySplit="1" topLeftCell="A20" activePane="bottomLeft" state="frozen"/>
      <selection activeCell="E5" sqref="E5"/>
      <selection pane="bottomLeft" activeCell="D31" sqref="D31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9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2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4" t="s">
        <v>4</v>
      </c>
      <c r="I1" s="34" t="s">
        <v>5</v>
      </c>
      <c r="J1" s="38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26" t="str">
        <f t="shared" ref="C2:C33" si="0">camel2snake(B2)</f>
        <v>product_no</v>
      </c>
      <c r="D2" s="40" t="s">
        <v>207</v>
      </c>
      <c r="E2" s="47"/>
      <c r="F2" s="45">
        <v>9</v>
      </c>
      <c r="G2" s="45">
        <v>10</v>
      </c>
      <c r="H2" s="47"/>
      <c r="I2" s="47"/>
      <c r="J2" s="41" t="s">
        <v>87</v>
      </c>
      <c r="K2" s="40" t="s">
        <v>105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85</v>
      </c>
      <c r="C3" s="26" t="str">
        <f t="shared" si="0"/>
        <v>price</v>
      </c>
      <c r="D3" s="40" t="s">
        <v>88</v>
      </c>
      <c r="E3" s="47"/>
      <c r="F3" s="47"/>
      <c r="G3" s="47"/>
      <c r="H3" s="45">
        <v>0</v>
      </c>
      <c r="I3" s="45"/>
      <c r="J3" s="41" t="s">
        <v>227</v>
      </c>
      <c r="K3" s="40" t="s">
        <v>106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26" t="str">
        <f t="shared" si="0"/>
        <v>up</v>
      </c>
      <c r="D4" s="40" t="s">
        <v>90</v>
      </c>
      <c r="E4" s="47"/>
      <c r="F4" s="47"/>
      <c r="G4" s="47"/>
      <c r="H4" s="45">
        <v>0</v>
      </c>
      <c r="I4" s="45">
        <v>0</v>
      </c>
      <c r="J4" s="41" t="s">
        <v>228</v>
      </c>
      <c r="K4" s="40" t="s">
        <v>107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26" t="str">
        <f t="shared" si="0"/>
        <v>registration_date</v>
      </c>
      <c r="D5" s="40" t="s">
        <v>89</v>
      </c>
      <c r="E5" s="47"/>
      <c r="F5" s="47"/>
      <c r="G5" s="47"/>
      <c r="H5" s="47"/>
      <c r="I5" s="47"/>
      <c r="J5" s="41" t="s">
        <v>232</v>
      </c>
      <c r="K5" s="40" t="s">
        <v>91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26" t="str">
        <f t="shared" si="0"/>
        <v>product_kbn</v>
      </c>
      <c r="D6" s="40" t="s">
        <v>209</v>
      </c>
      <c r="E6" s="47"/>
      <c r="F6" s="45"/>
      <c r="G6" s="45"/>
      <c r="H6" s="47"/>
      <c r="I6" s="47"/>
      <c r="J6" s="41" t="s">
        <v>123</v>
      </c>
      <c r="K6" s="40" t="s">
        <v>96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26" t="str">
        <f t="shared" si="0"/>
        <v>comment</v>
      </c>
      <c r="D7" s="40" t="s">
        <v>110</v>
      </c>
      <c r="E7" s="44"/>
      <c r="F7" s="45">
        <v>10</v>
      </c>
      <c r="G7" s="47"/>
      <c r="H7" s="47"/>
      <c r="I7" s="47"/>
      <c r="J7" s="41" t="s">
        <v>112</v>
      </c>
      <c r="K7" s="40" t="s">
        <v>109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26" t="str">
        <f t="shared" si="0"/>
        <v>can_update</v>
      </c>
      <c r="D8" s="40" t="s">
        <v>114</v>
      </c>
      <c r="E8" s="47"/>
      <c r="F8" s="47"/>
      <c r="G8" s="47"/>
      <c r="H8" s="47"/>
      <c r="I8" s="47"/>
      <c r="J8" s="41" t="s">
        <v>233</v>
      </c>
      <c r="K8" s="40" t="s">
        <v>115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26" t="str">
        <f t="shared" si="0"/>
        <v>department</v>
      </c>
      <c r="D9" s="40" t="s">
        <v>209</v>
      </c>
      <c r="E9" s="47"/>
      <c r="F9" s="45"/>
      <c r="G9" s="45"/>
      <c r="H9" s="47"/>
      <c r="I9" s="47"/>
      <c r="J9" s="41" t="s">
        <v>149</v>
      </c>
      <c r="K9" s="40" t="s">
        <v>124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26" t="str">
        <f t="shared" si="0"/>
        <v>order_date</v>
      </c>
      <c r="D10" s="40" t="s">
        <v>89</v>
      </c>
      <c r="E10" s="47"/>
      <c r="F10" s="47"/>
      <c r="G10" s="47"/>
      <c r="H10" s="47"/>
      <c r="I10" s="47"/>
      <c r="J10" s="41" t="s">
        <v>232</v>
      </c>
      <c r="K10" s="40" t="s">
        <v>125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26" t="str">
        <f t="shared" si="0"/>
        <v>quantity</v>
      </c>
      <c r="D11" s="40" t="s">
        <v>88</v>
      </c>
      <c r="E11" s="47"/>
      <c r="F11" s="47"/>
      <c r="G11" s="47"/>
      <c r="H11" s="45">
        <v>0</v>
      </c>
      <c r="I11" s="45">
        <v>0</v>
      </c>
      <c r="J11" s="41" t="s">
        <v>229</v>
      </c>
      <c r="K11" s="40" t="s">
        <v>126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26" t="str">
        <f t="shared" si="0"/>
        <v>received_order_no</v>
      </c>
      <c r="D12" s="40" t="s">
        <v>207</v>
      </c>
      <c r="E12" s="47"/>
      <c r="F12" s="45">
        <v>10</v>
      </c>
      <c r="G12" s="45">
        <v>10</v>
      </c>
      <c r="H12" s="47"/>
      <c r="I12" s="47"/>
      <c r="J12" s="41" t="s">
        <v>136</v>
      </c>
      <c r="K12" s="40" t="s">
        <v>127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26" t="str">
        <f t="shared" si="0"/>
        <v>order_detail_no</v>
      </c>
      <c r="D13" s="40" t="s">
        <v>129</v>
      </c>
      <c r="E13" s="47"/>
      <c r="F13" s="47"/>
      <c r="G13" s="47"/>
      <c r="H13" s="47"/>
      <c r="I13" s="47"/>
      <c r="J13" s="41" t="s">
        <v>230</v>
      </c>
      <c r="K13" s="40" t="s">
        <v>174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26" t="str">
        <f t="shared" si="0"/>
        <v>person_in_charge</v>
      </c>
      <c r="D14" s="40" t="s">
        <v>137</v>
      </c>
      <c r="E14" s="44"/>
      <c r="F14" s="45"/>
      <c r="G14" s="45">
        <v>30</v>
      </c>
      <c r="H14" s="47"/>
      <c r="I14" s="47"/>
      <c r="J14" s="41" t="s">
        <v>138</v>
      </c>
      <c r="K14" s="40" t="s">
        <v>139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26" t="str">
        <f t="shared" si="0"/>
        <v>user_id</v>
      </c>
      <c r="D15" s="40" t="s">
        <v>207</v>
      </c>
      <c r="E15" s="47"/>
      <c r="F15" s="45">
        <v>4</v>
      </c>
      <c r="G15" s="45">
        <v>4</v>
      </c>
      <c r="H15" s="47"/>
      <c r="I15" s="47"/>
      <c r="J15" s="41" t="s">
        <v>210</v>
      </c>
      <c r="K15" s="40" t="s">
        <v>140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26" t="str">
        <f t="shared" si="0"/>
        <v>product_name</v>
      </c>
      <c r="D16" s="40" t="s">
        <v>137</v>
      </c>
      <c r="E16" s="44"/>
      <c r="F16" s="45"/>
      <c r="G16" s="45">
        <v>100</v>
      </c>
      <c r="H16" s="47"/>
      <c r="I16" s="47"/>
      <c r="J16" s="41" t="s">
        <v>175</v>
      </c>
      <c r="K16" s="40" t="s">
        <v>176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26" t="str">
        <f t="shared" si="0"/>
        <v>customer_id</v>
      </c>
      <c r="D17" s="40" t="s">
        <v>207</v>
      </c>
      <c r="E17" s="47"/>
      <c r="F17" s="45">
        <v>3</v>
      </c>
      <c r="G17" s="45">
        <v>3</v>
      </c>
      <c r="H17" s="47"/>
      <c r="I17" s="47"/>
      <c r="J17" s="41" t="s">
        <v>177</v>
      </c>
      <c r="K17" s="40" t="s">
        <v>178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26" t="str">
        <f t="shared" si="0"/>
        <v>customer_name</v>
      </c>
      <c r="D18" s="40" t="s">
        <v>137</v>
      </c>
      <c r="E18" s="44"/>
      <c r="F18" s="45"/>
      <c r="G18" s="45">
        <v>100</v>
      </c>
      <c r="H18" s="47"/>
      <c r="I18" s="47"/>
      <c r="J18" s="41" t="s">
        <v>179</v>
      </c>
      <c r="K18" s="40" t="s">
        <v>180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26" t="str">
        <f t="shared" si="0"/>
        <v>is_working</v>
      </c>
      <c r="D19" s="40" t="s">
        <v>114</v>
      </c>
      <c r="E19" s="47"/>
      <c r="F19" s="47"/>
      <c r="G19" s="47"/>
      <c r="H19" s="47"/>
      <c r="I19" s="47"/>
      <c r="J19" s="41" t="s">
        <v>234</v>
      </c>
      <c r="K19" s="40" t="s">
        <v>181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26" t="str">
        <f t="shared" si="0"/>
        <v>profit_rate</v>
      </c>
      <c r="D20" s="40" t="s">
        <v>90</v>
      </c>
      <c r="E20" s="47"/>
      <c r="F20" s="47"/>
      <c r="G20" s="47"/>
      <c r="H20" s="45"/>
      <c r="I20" s="45">
        <v>10</v>
      </c>
      <c r="J20" s="41" t="s">
        <v>231</v>
      </c>
      <c r="K20" s="40" t="s">
        <v>165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26" t="str">
        <f t="shared" si="0"/>
        <v>exclude_report</v>
      </c>
      <c r="D21" s="40" t="s">
        <v>114</v>
      </c>
      <c r="E21" s="47"/>
      <c r="F21" s="47"/>
      <c r="G21" s="47"/>
      <c r="H21" s="47"/>
      <c r="I21" s="47"/>
      <c r="J21" s="41" t="s">
        <v>234</v>
      </c>
      <c r="K21" s="40" t="s">
        <v>182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26" t="str">
        <f t="shared" si="0"/>
        <v>shipping_time</v>
      </c>
      <c r="D22" s="40" t="s">
        <v>188</v>
      </c>
      <c r="E22" s="44" t="s">
        <v>238</v>
      </c>
      <c r="F22" s="47"/>
      <c r="G22" s="47"/>
      <c r="H22" s="47"/>
      <c r="I22" s="47"/>
      <c r="J22" s="41" t="s">
        <v>235</v>
      </c>
      <c r="K22" s="40" t="s">
        <v>189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26" t="str">
        <f t="shared" si="0"/>
        <v>is_active_customer</v>
      </c>
      <c r="D23" s="40" t="s">
        <v>114</v>
      </c>
      <c r="E23" s="47"/>
      <c r="F23" s="47"/>
      <c r="G23" s="47"/>
      <c r="H23" s="47"/>
      <c r="I23" s="47"/>
      <c r="J23" s="41" t="s">
        <v>234</v>
      </c>
      <c r="K23" s="40" t="s">
        <v>195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26" t="str">
        <f t="shared" si="0"/>
        <v>customer_type</v>
      </c>
      <c r="D24" s="40" t="s">
        <v>209</v>
      </c>
      <c r="E24" s="47"/>
      <c r="F24" s="45"/>
      <c r="G24" s="45"/>
      <c r="H24" s="47"/>
      <c r="I24" s="47"/>
      <c r="J24" s="41" t="s">
        <v>196</v>
      </c>
      <c r="K24" s="40" t="s">
        <v>197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26" t="str">
        <f t="shared" si="0"/>
        <v>approve_datetime</v>
      </c>
      <c r="D25" s="40" t="s">
        <v>216</v>
      </c>
      <c r="E25" s="47"/>
      <c r="F25" s="47"/>
      <c r="G25" s="47"/>
      <c r="H25" s="47"/>
      <c r="I25" s="47"/>
      <c r="J25" s="41" t="s">
        <v>217</v>
      </c>
      <c r="K25" s="40" t="s">
        <v>218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26" t="str">
        <f t="shared" si="0"/>
        <v>emploee_no</v>
      </c>
      <c r="D26" s="40" t="s">
        <v>207</v>
      </c>
      <c r="E26" s="47"/>
      <c r="F26" s="45">
        <v>4</v>
      </c>
      <c r="G26" s="45">
        <v>4</v>
      </c>
      <c r="H26" s="47"/>
      <c r="I26" s="47"/>
      <c r="J26" s="41" t="s">
        <v>236</v>
      </c>
      <c r="K26" s="40" t="s">
        <v>212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26" t="str">
        <f t="shared" si="0"/>
        <v>log_id</v>
      </c>
      <c r="D27" s="40" t="s">
        <v>219</v>
      </c>
      <c r="E27" s="47"/>
      <c r="F27" s="47"/>
      <c r="G27" s="47"/>
      <c r="H27" s="47"/>
      <c r="I27" s="47"/>
      <c r="J27" s="41" t="s">
        <v>223</v>
      </c>
      <c r="K27" s="40" t="s">
        <v>224</v>
      </c>
      <c r="L27" s="31">
        <f ca="1">COUNTIF(派生元項目KEY,A27)</f>
        <v>0</v>
      </c>
      <c r="M27" s="31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2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1">
        <f ca="1">COUNTIF(派生元項目KEY,A28)</f>
        <v>0</v>
      </c>
      <c r="M28" s="31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2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1">
        <f ca="1">COUNTIF(派生元項目KEY,A29)</f>
        <v>0</v>
      </c>
      <c r="M29" s="31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2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1">
        <f ca="1">COUNTIF(派生元項目KEY,A30)</f>
        <v>0</v>
      </c>
      <c r="M30" s="31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26" t="str">
        <f t="shared" si="0"/>
        <v/>
      </c>
      <c r="D31" s="40"/>
      <c r="E31" s="46"/>
      <c r="F31" s="46"/>
      <c r="G31" s="46"/>
      <c r="H31" s="46"/>
      <c r="I31" s="46"/>
      <c r="J31" s="41"/>
      <c r="K31" s="40"/>
      <c r="L31" s="31">
        <f ca="1">COUNTIF(派生元項目KEY,A31)</f>
        <v>0</v>
      </c>
      <c r="M31" s="31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2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1">
        <f ca="1">COUNTIF(派生元項目KEY,A32)</f>
        <v>0</v>
      </c>
      <c r="M32" s="31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2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1">
        <f ca="1">COUNTIF(派生元項目KEY,A33)</f>
        <v>0</v>
      </c>
      <c r="M33" s="31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2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1">
        <f ca="1">COUNTIF(派生元項目KEY,A34)</f>
        <v>0</v>
      </c>
      <c r="M34" s="31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2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1">
        <f ca="1">COUNTIF(派生元項目KEY,A35)</f>
        <v>0</v>
      </c>
      <c r="M35" s="31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2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1">
        <f ca="1">COUNTIF(派生元項目KEY,A36)</f>
        <v>0</v>
      </c>
      <c r="M36" s="31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2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1">
        <f ca="1">COUNTIF(派生元項目KEY,A37)</f>
        <v>0</v>
      </c>
      <c r="M37" s="31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2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1">
        <f ca="1">COUNTIF(派生元項目KEY,A38)</f>
        <v>0</v>
      </c>
      <c r="M38" s="31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2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1">
        <f ca="1">COUNTIF(派生元項目KEY,A39)</f>
        <v>0</v>
      </c>
      <c r="M39" s="31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2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1">
        <f ca="1">COUNTIF(派生元項目KEY,A40)</f>
        <v>0</v>
      </c>
      <c r="M40" s="31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2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1">
        <f ca="1">COUNTIF(派生元項目KEY,A41)</f>
        <v>0</v>
      </c>
      <c r="M41" s="31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2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1">
        <f ca="1">COUNTIF(派生元項目KEY,A42)</f>
        <v>0</v>
      </c>
      <c r="M42" s="31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2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1">
        <f ca="1">COUNTIF(派生元項目KEY,A43)</f>
        <v>0</v>
      </c>
      <c r="M43" s="31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2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1">
        <f ca="1">COUNTIF(派生元項目KEY,A44)</f>
        <v>0</v>
      </c>
      <c r="M44" s="31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2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1">
        <f ca="1">COUNTIF(派生元項目KEY,A45)</f>
        <v>0</v>
      </c>
      <c r="M45" s="31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2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1">
        <f ca="1">COUNTIF(派生元項目KEY,A46)</f>
        <v>0</v>
      </c>
      <c r="M46" s="31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2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1">
        <f ca="1">COUNTIF(派生元項目KEY,A47)</f>
        <v>0</v>
      </c>
      <c r="M47" s="31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2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1">
        <f ca="1">COUNTIF(派生元項目KEY,A48)</f>
        <v>0</v>
      </c>
      <c r="M48" s="31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2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1">
        <f ca="1">COUNTIF(派生元項目KEY,A49)</f>
        <v>0</v>
      </c>
      <c r="M49" s="31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2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1">
        <f ca="1">COUNTIF(派生元項目KEY,A50)</f>
        <v>0</v>
      </c>
      <c r="M50" s="31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2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1">
        <f ca="1">COUNTIF(派生元項目KEY,A51)</f>
        <v>0</v>
      </c>
      <c r="M51" s="31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2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1">
        <f ca="1">COUNTIF(派生元項目KEY,A52)</f>
        <v>0</v>
      </c>
      <c r="M52" s="31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2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1">
        <f ca="1">COUNTIF(派生元項目KEY,A53)</f>
        <v>0</v>
      </c>
      <c r="M53" s="31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2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1">
        <f ca="1">COUNTIF(派生元項目KEY,A54)</f>
        <v>0</v>
      </c>
      <c r="M54" s="31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2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1">
        <f ca="1">COUNTIF(派生元項目KEY,A55)</f>
        <v>0</v>
      </c>
      <c r="M55" s="31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2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1">
        <f ca="1">COUNTIF(派生元項目KEY,A56)</f>
        <v>0</v>
      </c>
      <c r="M56" s="31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5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6">
        <f ca="1">COUNTIF(派生元項目KEY,A57)</f>
        <v>0</v>
      </c>
      <c r="M57" s="36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7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7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7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7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7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7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7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7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7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7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7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7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7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7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7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7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7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7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7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7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7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7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7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7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7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7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7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7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7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7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7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7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7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7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7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7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7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7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7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7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7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7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7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7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7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7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7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7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7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7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7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7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7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7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7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7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7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7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7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7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7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7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7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7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7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7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7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7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7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7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7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7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7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7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7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7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7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7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7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7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7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7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7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7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7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7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7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7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7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7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7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7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7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7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7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7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7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7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7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7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7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7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7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7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7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7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7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7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7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7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7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7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7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7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7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7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7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7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7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7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7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7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7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7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7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7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7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7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7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7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7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7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7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7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7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7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7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7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7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7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7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7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7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7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7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7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7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7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7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7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7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7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7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7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7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7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7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7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7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7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7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7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7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7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7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7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7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7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7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7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7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7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7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7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7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7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7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7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7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7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7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7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7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7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7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7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7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7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7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7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7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7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7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7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7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7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7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7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7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7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7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7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7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7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7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7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7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7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7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7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7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7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7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7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7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7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7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7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7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7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7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7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7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7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7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7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7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7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7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7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7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7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7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7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7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7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7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7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7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7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7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7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7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7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7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7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7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7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7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7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7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7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7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7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7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7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7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7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7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7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7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7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7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7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7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7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7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7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7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7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7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7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7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7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7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7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7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7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7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7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7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7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7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7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7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7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7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7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7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7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7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7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7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7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7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7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7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7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7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7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7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7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7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7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7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7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7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7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7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7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7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7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7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7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7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7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7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7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7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7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7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7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7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7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7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7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7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7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7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7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7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7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7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7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7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7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7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7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7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7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7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7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7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7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7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7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7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7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7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7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7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7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7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7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7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7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7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7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7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7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7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7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7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7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7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7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7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7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7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7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7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7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7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7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7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7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7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7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7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7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7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7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7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7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7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7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7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7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7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7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7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7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7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7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7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7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7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7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7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7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7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7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7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7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7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7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7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7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7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7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7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7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7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7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7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7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7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7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7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7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7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7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7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7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7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7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7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7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7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7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7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7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7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7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7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7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7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7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7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7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7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7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7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7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7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7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7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7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7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7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7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7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7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7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7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7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7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7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7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7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7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7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7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7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7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7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7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7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7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7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7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7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7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7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7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7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7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7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7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7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7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7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7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7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7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7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7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7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7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7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7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7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7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7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7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7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7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7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7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7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7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7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7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7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7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7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7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7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7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7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7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7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7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7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7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7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7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7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7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7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7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7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7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7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7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7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7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7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7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7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7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7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7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7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7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7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7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7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7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7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7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7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7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7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7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7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7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7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7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7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7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7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7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7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7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7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7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7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7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7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7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7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7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7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7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7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7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7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7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7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7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7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7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7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7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7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7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7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7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7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7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7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7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7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7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7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7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7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7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7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7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7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7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7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7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7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7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7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7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7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7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7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7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7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7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7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7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7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7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7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7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7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7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7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7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7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7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7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7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7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7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7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7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7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7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7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7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7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7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7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7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7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7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7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7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7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7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7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7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7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7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7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7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7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7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7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7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7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7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7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7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7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7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7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7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7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7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7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7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7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7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7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7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7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7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7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7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7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7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7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7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7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7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7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7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7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7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7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7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7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7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7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7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7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7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7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7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7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7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7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7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7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7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7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7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7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7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7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7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7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7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7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7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7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7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7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7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7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7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7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7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7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7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7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7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7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7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7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7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7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7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7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7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7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7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7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7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7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7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7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7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7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7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7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7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7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7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7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7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7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7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7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7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7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7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7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7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7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7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7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7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7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7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7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7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7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7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7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7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7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7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7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7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7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7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7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7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7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7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7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7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7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7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7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7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7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7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7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7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7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7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7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7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7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7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7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7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7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7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7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7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7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7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7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7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7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7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7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7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7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7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7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7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7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7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7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7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7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7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7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7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7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7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7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7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7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7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7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7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7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7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7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7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7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7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7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7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7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7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7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7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7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7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7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7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7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7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7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7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7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7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7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7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7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7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7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7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7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7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7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7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7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7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7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7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7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7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7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7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7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7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7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7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7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7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7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7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7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7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7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7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7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7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7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7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7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7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7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7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7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7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7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7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7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7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7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7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7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7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7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7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7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7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7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7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7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7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7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7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7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7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7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7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7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7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7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7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7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7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7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7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7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7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7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7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7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7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7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7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7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7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7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7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7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7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7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7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7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7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7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7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7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7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7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7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7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7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7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7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7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7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7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7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7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7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7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7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7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7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7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7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7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7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7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7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7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7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7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7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7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7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7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7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7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7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7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7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7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7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7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7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7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7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7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7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7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7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7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7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7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7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7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7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7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7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7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7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7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7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7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7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7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7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7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7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7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7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7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7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7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7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7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7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7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7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7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7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7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7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7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7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7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7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7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7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7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7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7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7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7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7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7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7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7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7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7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7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7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7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7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7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7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7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7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7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7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7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7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7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7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7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7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7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7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7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7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7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7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7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7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7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7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7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7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7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7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7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7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7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7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7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7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7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7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7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7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7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7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7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7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7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7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7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7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7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7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7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7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7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7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7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7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7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7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7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7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7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7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7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7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7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7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7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7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7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7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7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7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7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7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7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7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7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7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7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7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7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7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7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7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7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7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7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7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7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7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7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7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7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7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7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7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7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7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7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7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7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7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7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7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7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7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7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7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7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7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7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7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7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7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7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7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7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7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7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7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7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7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7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7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7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7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7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7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7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7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7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7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7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7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7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7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7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7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7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7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7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7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7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7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7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7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7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7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7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7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7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7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7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7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7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7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7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7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7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7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7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7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7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7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7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7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7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7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7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7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7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7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7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7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7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7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7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7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7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7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7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7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7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7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7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7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7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7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7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7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7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7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7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7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7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7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7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7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7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7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7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7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7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7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7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7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7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7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7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7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7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7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7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7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7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7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7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7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7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7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7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7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7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7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7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7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7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7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7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7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7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7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7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7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7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7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7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7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7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7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7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7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7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7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7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7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7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7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7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7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7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7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7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7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7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7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7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7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7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7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7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7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7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7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7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7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7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7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7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7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7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7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7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7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7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7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7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7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7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7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7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7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7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7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7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7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7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7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7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7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7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7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7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7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7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7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7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7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7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7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7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7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7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7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7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7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7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7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7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7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7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7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7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7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7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7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7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7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7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7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7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7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7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7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7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7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7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7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7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7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7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7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7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7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7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7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7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7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7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7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7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7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7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7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7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7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7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7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7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7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7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7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7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7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7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7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7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7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7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7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7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7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7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7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7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7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7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7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7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7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7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7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7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7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7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7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7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7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7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7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7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7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7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7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7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7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7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7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7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7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7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7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7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7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7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7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7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7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7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7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7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7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7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7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7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7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7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7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7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7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7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7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7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7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7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7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7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7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7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7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7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7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7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7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7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7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7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7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7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7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7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7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7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7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7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7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7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7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7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7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7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7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7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7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7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7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7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7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7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7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7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7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7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7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7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7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7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7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7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7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7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7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7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7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7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7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7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7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7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7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7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7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7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7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7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7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7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7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7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7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7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7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7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7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7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7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7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7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7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7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7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7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7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7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7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7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7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7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7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7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7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7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7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7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7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7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7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7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7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7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7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7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7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7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7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7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7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7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7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7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7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7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7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7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7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7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7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7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7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7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7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7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7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7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7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7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7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7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7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7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7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7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7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7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7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7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7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7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7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7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7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7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7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7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7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7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7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7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7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7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7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7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7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7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7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7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7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7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7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7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7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7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7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7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7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7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7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7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7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7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7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7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7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7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7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7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7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7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7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7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7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7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7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7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7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7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7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7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7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7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7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7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7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7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7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7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7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7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7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7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7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7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7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7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7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7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7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7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7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7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7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7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7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7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7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7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7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7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7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7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7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7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7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7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7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7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7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7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7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7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7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7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7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7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7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7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7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7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7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7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7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7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7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7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7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7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7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7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7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7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7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7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7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7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7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7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7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7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7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7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7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7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7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7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7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7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7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7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7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7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7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7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7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7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7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7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7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7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7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7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7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7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7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7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7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7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7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7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7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7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7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7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7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7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7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7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7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7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7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7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7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7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7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7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7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7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7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7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7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7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7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7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7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7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7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7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7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7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7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7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7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7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7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7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7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7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7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7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7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7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7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7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7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7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7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7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7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7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7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7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7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7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7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7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7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7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7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7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7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7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7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7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7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7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7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7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7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7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7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7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7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7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7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7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7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7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7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7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7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7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7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7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7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7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7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7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7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7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7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7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7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7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7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7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7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7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7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7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7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7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7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7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7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7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7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7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7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7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7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7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7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7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7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7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7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7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7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7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7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7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7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7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7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7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7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7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7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7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7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7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7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7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7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7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7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7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7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7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7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7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7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7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7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7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7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7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7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7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7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7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7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7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7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7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7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7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7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7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7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7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7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7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7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7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7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7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7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7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7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7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7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7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7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7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7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7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7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7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7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7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7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7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7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7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7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7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7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7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7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7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7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7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7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7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7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7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7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7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7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7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7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7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7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7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7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7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7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7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7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7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7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7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7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7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7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7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7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7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7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7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7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7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7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7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7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7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7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7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7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7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7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7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7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7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7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7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7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7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7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7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7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7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7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7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7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7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7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7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7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7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7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7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7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7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7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7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7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7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7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7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7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7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7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7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7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7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7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7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7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7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7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7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7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7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7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7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7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7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7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7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7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7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7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7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7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7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7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7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7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7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7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7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7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7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7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7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7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7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7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7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7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7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7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7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7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7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7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7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7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7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7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7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7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7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7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7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7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7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7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7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7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7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7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7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7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7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7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7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7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7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7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7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7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7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7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7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7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7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7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7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7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7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7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7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7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7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7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7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7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7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7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7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7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7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7"/>
      <c r="K2331"/>
      <c r="L2331"/>
      <c r="M2331"/>
      <c r="N2331"/>
      <c r="O2331"/>
    </row>
  </sheetData>
  <phoneticPr fontId="1"/>
  <conditionalFormatting sqref="D2:D57">
    <cfRule type="expression" dxfId="8" priority="1" stopIfTrue="1">
      <formula>AND(D2&lt;&gt;"",ISNA(MATCH(D2,ドメインタイプKEY,0)))</formula>
    </cfRule>
  </conditionalFormatting>
  <conditionalFormatting sqref="B2:B57 D2:D57 J2:K57">
    <cfRule type="expression" dxfId="7" priority="2" stopIfTrue="1">
      <formula>AND($A2&lt;&gt;"",B2="")</formula>
    </cfRule>
  </conditionalFormatting>
  <conditionalFormatting sqref="E22">
    <cfRule type="containsBlanks" dxfId="6" priority="3" stopIfTrue="1">
      <formula>LEN(TRIM(E22))=0</formula>
    </cfRule>
  </conditionalFormatting>
  <conditionalFormatting sqref="F2:G2 F12:G12 G14 F15:G15 G16 F17:G17 G18 F26:G26">
    <cfRule type="containsBlanks" dxfId="5" priority="4" stopIfTrue="1">
      <formula>LEN(TRIM(F2))=0</formula>
    </cfRule>
  </conditionalFormatting>
  <dataValidations count="11">
    <dataValidation imeMode="on" allowBlank="1" showInputMessage="1" showErrorMessage="1" sqref="K2332:K1048576 A1 K1 A2332:A1048576" xr:uid="{82371562-DA48-418A-B9E1-F875CA10CC30}"/>
    <dataValidation imeMode="off" allowBlank="1" showInputMessage="1" showErrorMessage="1" sqref="E1:J1 B2332:B1048576 B1 E2332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A5116FFD-153C-4ADB-968B-6C893B45D6FE}"/>
    <dataValidation imeMode="off" allowBlank="1" showInputMessage="1" showErrorMessage="1" sqref="B2:B57" xr:uid="{F4793A01-4415-4725-9DB3-B531A5F3F421}"/>
    <dataValidation imeMode="off" allowBlank="1" showInputMessage="1" showErrorMessage="1" sqref="E22" xr:uid="{6EA98BB1-5FAF-4987-BF9F-AD6036486B11}"/>
    <dataValidation imeMode="off" allowBlank="1" showInputMessage="1" showErrorMessage="1" sqref="E7 E14 E16 E18" xr:uid="{D1F378A1-F81C-4FCC-B59F-B7354474F1E3}"/>
    <dataValidation type="whole" imeMode="off" allowBlank="1" showInputMessage="1" showErrorMessage="1" error="0-1000の間で入力可能" sqref="F2:G2 F12:G12 G14 F15:G15 G16 F17:G17 G18 F26:G26" xr:uid="{4B95F93C-A647-4B26-966F-F6033F58B8D1}">
      <formula1>0</formula1>
      <formula2>1000</formula2>
    </dataValidation>
    <dataValidation type="whole" imeMode="off" allowBlank="1" showInputMessage="1" showErrorMessage="1" error="0-1000の間で入力可能" sqref="F6:G6 F7 F9:G9 F14 F16 F18 F24:G24" xr:uid="{941F21F6-ACA7-44BF-81B4-4046C0576027}">
      <formula1>0</formula1>
      <formula2>1000</formula2>
    </dataValidation>
    <dataValidation type="whole" imeMode="off" allowBlank="1" showInputMessage="1" showErrorMessage="1" error="数値のみ入力可能" sqref="H3:I4 H11:I11 H20:I20" xr:uid="{6F2FE5F6-8021-49A8-9C56-53D31EFD1B5E}">
      <formula1>-99999999</formula1>
      <formula2>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72463A96-2710-4173-82E6-3CDB700519E7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86"/>
  <sheetViews>
    <sheetView showGridLines="0" workbookViewId="0">
      <pane ySplit="1" topLeftCell="A2" activePane="bottomLeft" state="frozen"/>
      <selection activeCell="E5" sqref="E5"/>
      <selection pane="bottomLeft" activeCell="D3" sqref="D3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77</v>
      </c>
      <c r="B1" s="27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92</v>
      </c>
      <c r="C2" s="40" t="s">
        <v>108</v>
      </c>
      <c r="D2" s="26" t="str">
        <f t="shared" ref="D2:D35" si="0">camel2snake(C2)</f>
        <v>campane_price</v>
      </c>
      <c r="E2" s="40" t="s">
        <v>93</v>
      </c>
    </row>
    <row r="3" spans="1:5" x14ac:dyDescent="0.55000000000000004">
      <c r="A3" s="40" t="s">
        <v>131</v>
      </c>
      <c r="B3" s="40" t="s">
        <v>141</v>
      </c>
      <c r="C3" s="40" t="s">
        <v>142</v>
      </c>
      <c r="D3" s="26" t="str">
        <f t="shared" si="0"/>
        <v>order_pic</v>
      </c>
      <c r="E3" s="40" t="s">
        <v>144</v>
      </c>
    </row>
    <row r="4" spans="1:5" x14ac:dyDescent="0.55000000000000004">
      <c r="A4" s="40" t="s">
        <v>131</v>
      </c>
      <c r="B4" s="40" t="s">
        <v>143</v>
      </c>
      <c r="C4" s="40" t="s">
        <v>184</v>
      </c>
      <c r="D4" s="26" t="str">
        <f t="shared" si="0"/>
        <v>product_pic</v>
      </c>
      <c r="E4" s="40" t="s">
        <v>145</v>
      </c>
    </row>
    <row r="5" spans="1:5" x14ac:dyDescent="0.55000000000000004">
      <c r="A5" s="40" t="s">
        <v>124</v>
      </c>
      <c r="B5" s="40" t="s">
        <v>185</v>
      </c>
      <c r="C5" s="40" t="s">
        <v>186</v>
      </c>
      <c r="D5" s="26" t="str">
        <f t="shared" si="0"/>
        <v>salese_department</v>
      </c>
      <c r="E5" s="40" t="s">
        <v>185</v>
      </c>
    </row>
    <row r="6" spans="1:5" x14ac:dyDescent="0.55000000000000004">
      <c r="A6" s="40"/>
      <c r="B6" s="40"/>
      <c r="C6" s="40"/>
      <c r="D6" s="26" t="str">
        <f t="shared" si="0"/>
        <v/>
      </c>
      <c r="E6" s="40"/>
    </row>
    <row r="7" spans="1:5" x14ac:dyDescent="0.55000000000000004">
      <c r="A7" s="40"/>
      <c r="B7" s="40"/>
      <c r="C7" s="40"/>
      <c r="D7" s="26" t="str">
        <f t="shared" si="0"/>
        <v/>
      </c>
      <c r="E7" s="40"/>
    </row>
    <row r="8" spans="1:5" x14ac:dyDescent="0.55000000000000004">
      <c r="A8" s="40"/>
      <c r="B8" s="40"/>
      <c r="C8" s="40"/>
      <c r="D8" s="26" t="str">
        <f t="shared" si="0"/>
        <v/>
      </c>
      <c r="E8" s="40"/>
    </row>
    <row r="9" spans="1:5" x14ac:dyDescent="0.55000000000000004">
      <c r="A9" s="40"/>
      <c r="B9" s="40"/>
      <c r="C9" s="40"/>
      <c r="D9" s="26" t="str">
        <f t="shared" si="0"/>
        <v/>
      </c>
      <c r="E9" s="40"/>
    </row>
    <row r="10" spans="1:5" x14ac:dyDescent="0.55000000000000004">
      <c r="A10" s="40"/>
      <c r="B10" s="40"/>
      <c r="C10" s="40"/>
      <c r="D10" s="26" t="str">
        <f t="shared" si="0"/>
        <v/>
      </c>
      <c r="E10" s="40"/>
    </row>
    <row r="11" spans="1:5" x14ac:dyDescent="0.55000000000000004">
      <c r="A11" s="40"/>
      <c r="B11" s="40"/>
      <c r="C11" s="40"/>
      <c r="D11" s="26" t="str">
        <f t="shared" si="0"/>
        <v/>
      </c>
      <c r="E11" s="40"/>
    </row>
    <row r="12" spans="1:5" x14ac:dyDescent="0.55000000000000004">
      <c r="A12" s="40"/>
      <c r="B12" s="40"/>
      <c r="C12" s="40"/>
      <c r="D12" s="26" t="str">
        <f t="shared" si="0"/>
        <v/>
      </c>
      <c r="E12" s="40"/>
    </row>
    <row r="13" spans="1:5" x14ac:dyDescent="0.55000000000000004">
      <c r="A13" s="40"/>
      <c r="B13" s="40"/>
      <c r="C13" s="40"/>
      <c r="D13" s="26" t="str">
        <f t="shared" si="0"/>
        <v/>
      </c>
      <c r="E13" s="40"/>
    </row>
    <row r="14" spans="1:5" x14ac:dyDescent="0.55000000000000004">
      <c r="A14" s="40"/>
      <c r="B14" s="40"/>
      <c r="C14" s="40"/>
      <c r="D14" s="26" t="str">
        <f t="shared" si="0"/>
        <v/>
      </c>
      <c r="E14" s="40"/>
    </row>
    <row r="15" spans="1:5" x14ac:dyDescent="0.55000000000000004">
      <c r="A15" s="40"/>
      <c r="B15" s="40"/>
      <c r="C15" s="40"/>
      <c r="D15" s="26" t="str">
        <f t="shared" si="0"/>
        <v/>
      </c>
      <c r="E15" s="40"/>
    </row>
    <row r="16" spans="1:5" x14ac:dyDescent="0.55000000000000004">
      <c r="A16" s="40"/>
      <c r="B16" s="40"/>
      <c r="C16" s="40"/>
      <c r="D16" s="26" t="str">
        <f t="shared" si="0"/>
        <v/>
      </c>
      <c r="E16" s="40"/>
    </row>
    <row r="17" spans="1:5" x14ac:dyDescent="0.55000000000000004">
      <c r="A17" s="40"/>
      <c r="B17" s="40"/>
      <c r="C17" s="40"/>
      <c r="D17" s="26" t="str">
        <f t="shared" si="0"/>
        <v/>
      </c>
      <c r="E17" s="40"/>
    </row>
    <row r="18" spans="1:5" x14ac:dyDescent="0.55000000000000004">
      <c r="A18" s="40"/>
      <c r="B18" s="40"/>
      <c r="C18" s="40"/>
      <c r="D18" s="26" t="str">
        <f t="shared" si="0"/>
        <v/>
      </c>
      <c r="E18" s="40"/>
    </row>
    <row r="19" spans="1:5" x14ac:dyDescent="0.55000000000000004">
      <c r="A19" s="40"/>
      <c r="B19" s="40"/>
      <c r="C19" s="40"/>
      <c r="D19" s="26" t="str">
        <f t="shared" si="0"/>
        <v/>
      </c>
      <c r="E19" s="40"/>
    </row>
    <row r="20" spans="1:5" x14ac:dyDescent="0.55000000000000004">
      <c r="A20" s="40"/>
      <c r="B20" s="40"/>
      <c r="C20" s="40"/>
      <c r="D20" s="26" t="str">
        <f t="shared" si="0"/>
        <v/>
      </c>
      <c r="E20" s="40"/>
    </row>
    <row r="21" spans="1:5" x14ac:dyDescent="0.55000000000000004">
      <c r="A21" s="40"/>
      <c r="B21" s="40"/>
      <c r="C21" s="40"/>
      <c r="D21" s="26" t="str">
        <f t="shared" si="0"/>
        <v/>
      </c>
      <c r="E21" s="40"/>
    </row>
    <row r="22" spans="1:5" x14ac:dyDescent="0.55000000000000004">
      <c r="A22" s="40"/>
      <c r="B22" s="40"/>
      <c r="C22" s="40"/>
      <c r="D22" s="26" t="str">
        <f t="shared" si="0"/>
        <v/>
      </c>
      <c r="E22" s="40"/>
    </row>
    <row r="23" spans="1:5" x14ac:dyDescent="0.55000000000000004">
      <c r="A23" s="40"/>
      <c r="B23" s="40"/>
      <c r="C23" s="40"/>
      <c r="D23" s="26" t="str">
        <f t="shared" si="0"/>
        <v/>
      </c>
      <c r="E23" s="40"/>
    </row>
    <row r="24" spans="1:5" x14ac:dyDescent="0.55000000000000004">
      <c r="A24" s="40"/>
      <c r="B24" s="40"/>
      <c r="C24" s="40"/>
      <c r="D24" s="26" t="str">
        <f t="shared" si="0"/>
        <v/>
      </c>
      <c r="E24" s="40"/>
    </row>
    <row r="25" spans="1:5" x14ac:dyDescent="0.55000000000000004">
      <c r="A25" s="40"/>
      <c r="B25" s="40"/>
      <c r="C25" s="40"/>
      <c r="D25" s="26" t="str">
        <f t="shared" si="0"/>
        <v/>
      </c>
      <c r="E25" s="40"/>
    </row>
    <row r="26" spans="1:5" x14ac:dyDescent="0.55000000000000004">
      <c r="A26" s="40"/>
      <c r="B26" s="40"/>
      <c r="C26" s="40"/>
      <c r="D26" s="26" t="str">
        <f t="shared" si="0"/>
        <v/>
      </c>
      <c r="E26" s="40"/>
    </row>
    <row r="27" spans="1:5" x14ac:dyDescent="0.55000000000000004">
      <c r="A27" s="40"/>
      <c r="B27" s="40"/>
      <c r="C27" s="40"/>
      <c r="D27" s="26" t="str">
        <f t="shared" si="0"/>
        <v/>
      </c>
      <c r="E27" s="40"/>
    </row>
    <row r="28" spans="1:5" x14ac:dyDescent="0.55000000000000004">
      <c r="A28" s="40"/>
      <c r="B28" s="40"/>
      <c r="C28" s="40"/>
      <c r="D28" s="26" t="str">
        <f t="shared" si="0"/>
        <v/>
      </c>
      <c r="E28" s="40"/>
    </row>
    <row r="29" spans="1:5" x14ac:dyDescent="0.55000000000000004">
      <c r="A29" s="40"/>
      <c r="B29" s="40"/>
      <c r="C29" s="40"/>
      <c r="D29" s="26" t="str">
        <f t="shared" si="0"/>
        <v/>
      </c>
      <c r="E29" s="40"/>
    </row>
    <row r="30" spans="1:5" x14ac:dyDescent="0.55000000000000004">
      <c r="A30" s="40"/>
      <c r="B30" s="40"/>
      <c r="C30" s="40"/>
      <c r="D30" s="26" t="str">
        <f t="shared" si="0"/>
        <v/>
      </c>
      <c r="E30" s="40"/>
    </row>
    <row r="31" spans="1:5" x14ac:dyDescent="0.55000000000000004">
      <c r="A31" s="40"/>
      <c r="B31" s="40"/>
      <c r="C31" s="40"/>
      <c r="D31" s="26" t="str">
        <f t="shared" si="0"/>
        <v/>
      </c>
      <c r="E31" s="40"/>
    </row>
    <row r="32" spans="1:5" x14ac:dyDescent="0.55000000000000004">
      <c r="A32" s="40"/>
      <c r="B32" s="40"/>
      <c r="C32" s="40"/>
      <c r="D32" s="26" t="str">
        <f t="shared" si="0"/>
        <v/>
      </c>
      <c r="E32" s="40"/>
    </row>
    <row r="33" spans="1:5" x14ac:dyDescent="0.55000000000000004">
      <c r="A33" s="40"/>
      <c r="B33" s="40"/>
      <c r="C33" s="40"/>
      <c r="D33" s="26" t="str">
        <f t="shared" si="0"/>
        <v/>
      </c>
      <c r="E33" s="40"/>
    </row>
    <row r="34" spans="1:5" x14ac:dyDescent="0.55000000000000004">
      <c r="A34" s="40"/>
      <c r="B34" s="40"/>
      <c r="C34" s="40"/>
      <c r="D34" s="26" t="str">
        <f t="shared" si="0"/>
        <v/>
      </c>
      <c r="E34" s="40"/>
    </row>
    <row r="35" spans="1:5" x14ac:dyDescent="0.55000000000000004">
      <c r="A35" s="42"/>
      <c r="B35" s="42"/>
      <c r="C35" s="42"/>
      <c r="D35" s="35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</sheetData>
  <phoneticPr fontId="1"/>
  <conditionalFormatting sqref="A2:A35">
    <cfRule type="expression" dxfId="4" priority="1" stopIfTrue="1">
      <formula>AND(A2&lt;&gt;"",ISNA(MATCH(A2,項目リスト,0)))</formula>
    </cfRule>
  </conditionalFormatting>
  <conditionalFormatting sqref="E2:E35 B2:C35">
    <cfRule type="expression" dxfId="3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D509451E-14F0-44FC-93E5-4A5D8E29AB53}"/>
    <dataValidation imeMode="off" allowBlank="1" showInputMessage="1" showErrorMessage="1" sqref="C2:C35" xr:uid="{18856F88-D374-41AE-A0A3-66FB5223FF94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15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82</v>
      </c>
      <c r="B1" s="30" t="s">
        <v>9</v>
      </c>
      <c r="C1" s="19" t="s">
        <v>122</v>
      </c>
      <c r="D1" s="22" t="s">
        <v>6</v>
      </c>
    </row>
    <row r="2" spans="1:4" x14ac:dyDescent="0.55000000000000004">
      <c r="A2" s="40" t="s">
        <v>94</v>
      </c>
      <c r="B2" s="40" t="s">
        <v>119</v>
      </c>
      <c r="C2" s="40" t="s">
        <v>98</v>
      </c>
      <c r="D2" s="40" t="s">
        <v>99</v>
      </c>
    </row>
    <row r="3" spans="1:4" x14ac:dyDescent="0.55000000000000004">
      <c r="A3" s="40" t="s">
        <v>94</v>
      </c>
      <c r="B3" s="40" t="s">
        <v>123</v>
      </c>
      <c r="C3" s="40" t="s">
        <v>97</v>
      </c>
      <c r="D3" s="40" t="s">
        <v>100</v>
      </c>
    </row>
    <row r="4" spans="1:4" x14ac:dyDescent="0.55000000000000004">
      <c r="A4" s="40" t="s">
        <v>94</v>
      </c>
      <c r="B4" s="40" t="s">
        <v>120</v>
      </c>
      <c r="C4" s="40" t="s">
        <v>101</v>
      </c>
      <c r="D4" s="40" t="s">
        <v>104</v>
      </c>
    </row>
    <row r="5" spans="1:4" x14ac:dyDescent="0.55000000000000004">
      <c r="A5" s="40" t="s">
        <v>94</v>
      </c>
      <c r="B5" s="40" t="s">
        <v>121</v>
      </c>
      <c r="C5" s="40" t="s">
        <v>102</v>
      </c>
      <c r="D5" s="40" t="s">
        <v>103</v>
      </c>
    </row>
    <row r="6" spans="1:4" x14ac:dyDescent="0.55000000000000004">
      <c r="A6" s="40" t="s">
        <v>124</v>
      </c>
      <c r="B6" s="40" t="s">
        <v>146</v>
      </c>
      <c r="C6" s="40" t="s">
        <v>147</v>
      </c>
      <c r="D6" s="40" t="s">
        <v>148</v>
      </c>
    </row>
    <row r="7" spans="1:4" x14ac:dyDescent="0.55000000000000004">
      <c r="A7" s="40" t="s">
        <v>124</v>
      </c>
      <c r="B7" s="40" t="s">
        <v>149</v>
      </c>
      <c r="C7" s="40" t="s">
        <v>150</v>
      </c>
      <c r="D7" s="40" t="s">
        <v>151</v>
      </c>
    </row>
    <row r="8" spans="1:4" x14ac:dyDescent="0.55000000000000004">
      <c r="A8" s="40" t="s">
        <v>124</v>
      </c>
      <c r="B8" s="40" t="s">
        <v>152</v>
      </c>
      <c r="C8" s="40" t="s">
        <v>153</v>
      </c>
      <c r="D8" s="40" t="s">
        <v>154</v>
      </c>
    </row>
    <row r="9" spans="1:4" x14ac:dyDescent="0.55000000000000004">
      <c r="A9" s="40" t="s">
        <v>124</v>
      </c>
      <c r="B9" s="40" t="s">
        <v>155</v>
      </c>
      <c r="C9" s="40" t="s">
        <v>156</v>
      </c>
      <c r="D9" s="40" t="s">
        <v>157</v>
      </c>
    </row>
    <row r="10" spans="1:4" x14ac:dyDescent="0.55000000000000004">
      <c r="A10" s="40" t="s">
        <v>124</v>
      </c>
      <c r="B10" s="40" t="s">
        <v>158</v>
      </c>
      <c r="C10" s="40" t="s">
        <v>159</v>
      </c>
      <c r="D10" s="40" t="s">
        <v>160</v>
      </c>
    </row>
    <row r="11" spans="1:4" x14ac:dyDescent="0.55000000000000004">
      <c r="A11" s="40" t="s">
        <v>192</v>
      </c>
      <c r="B11" s="40" t="s">
        <v>198</v>
      </c>
      <c r="C11" s="40" t="s">
        <v>199</v>
      </c>
      <c r="D11" s="40" t="s">
        <v>199</v>
      </c>
    </row>
    <row r="12" spans="1:4" x14ac:dyDescent="0.55000000000000004">
      <c r="A12" s="40" t="s">
        <v>192</v>
      </c>
      <c r="B12" s="40" t="s">
        <v>196</v>
      </c>
      <c r="C12" s="40" t="s">
        <v>97</v>
      </c>
      <c r="D12" s="40" t="s">
        <v>200</v>
      </c>
    </row>
    <row r="13" spans="1:4" x14ac:dyDescent="0.55000000000000004">
      <c r="A13" s="40" t="s">
        <v>192</v>
      </c>
      <c r="B13" s="40" t="s">
        <v>201</v>
      </c>
      <c r="C13" s="40" t="s">
        <v>202</v>
      </c>
      <c r="D13" s="40" t="s">
        <v>202</v>
      </c>
    </row>
    <row r="14" spans="1:4" x14ac:dyDescent="0.55000000000000004">
      <c r="A14" s="40" t="s">
        <v>192</v>
      </c>
      <c r="B14" s="40" t="s">
        <v>203</v>
      </c>
      <c r="C14" s="40" t="s">
        <v>204</v>
      </c>
      <c r="D14" s="40" t="s">
        <v>204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</sheetData>
  <phoneticPr fontId="1"/>
  <conditionalFormatting sqref="A2:A44">
    <cfRule type="expression" dxfId="2" priority="1" stopIfTrue="1">
      <formula>AND(A2&lt;&gt;"",ISNA(MATCH(A2,区分値リスト,0)))</formula>
    </cfRule>
  </conditionalFormatting>
  <conditionalFormatting sqref="B2:D44">
    <cfRule type="expression" dxfId="1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6F0C2BF9-B260-40B7-B10B-23941161CB1B}"/>
    <dataValidation imeMode="off" allowBlank="1" showInputMessage="1" showErrorMessage="1" sqref="B2:B44" xr:uid="{CEC170B1-AA24-4F1B-898A-E894763F2DD1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J9" sqref="J9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 cm="1">
        <f t="array" ref="H2">getStatus($A2,H$1)</f>
        <v>-1</v>
      </c>
      <c r="I2" s="3" cm="1">
        <f t="array" ref="I2">getStatus($A2,I$1)</f>
        <v>-1</v>
      </c>
      <c r="J2" s="3" cm="1">
        <f t="array" ref="J2">getStatus($A2,J$1)</f>
        <v>-1</v>
      </c>
      <c r="K2" s="3" cm="1">
        <f t="array" ref="K2">getStatus($A2,K$1)</f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 cm="1">
        <f t="array" ref="H3">getStatus($A3,H$1)</f>
        <v>-1</v>
      </c>
      <c r="I3" s="6" cm="1">
        <f t="array" ref="I3">getStatus($A3,I$1)</f>
        <v>1</v>
      </c>
      <c r="J3" s="6" cm="1">
        <f t="array" ref="J3">getStatus($A3,J$1)</f>
        <v>1</v>
      </c>
      <c r="K3" s="6" cm="1">
        <f t="array" ref="K3">getStatus($A3,K$1)</f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 cm="1">
        <f t="array" ref="H4">getStatus($A4,H$1)</f>
        <v>-1</v>
      </c>
      <c r="I4" s="6" cm="1">
        <f t="array" ref="I4">getStatus($A4,I$1)</f>
        <v>-1</v>
      </c>
      <c r="J4" s="6" cm="1">
        <f t="array" ref="J4">getStatus($A4,J$1)</f>
        <v>-1</v>
      </c>
      <c r="K4" s="6" cm="1">
        <f t="array" ref="K4">getStatus($A4,K$1)</f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 cm="1">
        <f t="array" ref="H5">getStatus($A5,H$1)</f>
        <v>-1</v>
      </c>
      <c r="I5" s="6" cm="1">
        <f t="array" ref="I5">getStatus($A5,I$1)</f>
        <v>0</v>
      </c>
      <c r="J5" s="6" cm="1">
        <f t="array" ref="J5">getStatus($A5,J$1)</f>
        <v>0</v>
      </c>
      <c r="K5" s="6" cm="1">
        <f t="array" ref="K5">getStatus($A5,K$1)</f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 cm="1">
        <f t="array" ref="H6">getStatus($A6,H$1)</f>
        <v>-1</v>
      </c>
      <c r="I6" s="6" cm="1">
        <f t="array" ref="I6">getStatus($A6,I$1)</f>
        <v>1</v>
      </c>
      <c r="J6" s="6" cm="1">
        <f t="array" ref="J6">getStatus($A6,J$1)</f>
        <v>1</v>
      </c>
      <c r="K6" s="6" cm="1">
        <f t="array" ref="K6">getStatus($A6,K$1)</f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 cm="1">
        <f t="array" ref="H7">getStatus($A7,H$1)</f>
        <v>-1</v>
      </c>
      <c r="I7" s="6" cm="1">
        <f t="array" ref="I7">getStatus($A7,I$1)</f>
        <v>-1</v>
      </c>
      <c r="J7" s="6" cm="1">
        <f t="array" ref="J7">getStatus($A7,J$1)</f>
        <v>-1</v>
      </c>
      <c r="K7" s="6" cm="1">
        <f t="array" ref="K7">getStatus($A7,K$1)</f>
        <v>-1</v>
      </c>
      <c r="L7" s="7"/>
      <c r="M7" s="12" t="s">
        <v>68</v>
      </c>
      <c r="N7" s="33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 cm="1">
        <f t="array" ref="H8">getStatus($A8,H$1)</f>
        <v>-1</v>
      </c>
      <c r="I8" s="6" cm="1">
        <f t="array" ref="I8">getStatus($A8,I$1)</f>
        <v>-1</v>
      </c>
      <c r="J8" s="6" cm="1">
        <f t="array" ref="J8">getStatus($A8,J$1)</f>
        <v>-1</v>
      </c>
      <c r="K8" s="6" cm="1">
        <f t="array" ref="K8">getStatus($A8,K$1)</f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 cm="1">
        <f t="array" ref="H9">getStatus($A9,H$1)</f>
        <v>-1</v>
      </c>
      <c r="I9" s="6" cm="1">
        <f t="array" ref="I9">getStatus($A9,I$1)</f>
        <v>-1</v>
      </c>
      <c r="J9" s="6" cm="1">
        <f t="array" ref="J9">getStatus($A9,J$1)</f>
        <v>-1</v>
      </c>
      <c r="K9" s="6" cm="1">
        <f t="array" ref="K9">getStatus($A9,K$1)</f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 cm="1">
        <f t="array" ref="H10">getStatus($A10,H$1)</f>
        <v>1</v>
      </c>
      <c r="I10" s="6" cm="1">
        <f t="array" ref="I10">getStatus($A10,I$1)</f>
        <v>-1</v>
      </c>
      <c r="J10" s="6" cm="1">
        <f t="array" ref="J10">getStatus($A10,J$1)</f>
        <v>-1</v>
      </c>
      <c r="K10" s="6" cm="1">
        <f t="array" ref="K10">getStatus($A10,K$1)</f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 cm="1">
        <f t="array" ref="H11">getStatus($A11,H$1)</f>
        <v>-1</v>
      </c>
      <c r="I11" s="6" cm="1">
        <f t="array" ref="I11">getStatus($A11,I$1)</f>
        <v>-1</v>
      </c>
      <c r="J11" s="6" cm="1">
        <f t="array" ref="J11">getStatus($A11,J$1)</f>
        <v>-1</v>
      </c>
      <c r="K11" s="6" cm="1">
        <f t="array" ref="K11">getStatus($A11,K$1)</f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 cm="1">
        <f t="array" ref="H12">getStatus($A12,H$1)</f>
        <v>-1</v>
      </c>
      <c r="I12" s="6" cm="1">
        <f t="array" ref="I12">getStatus($A12,I$1)</f>
        <v>-1</v>
      </c>
      <c r="J12" s="6" cm="1">
        <f t="array" ref="J12">getStatus($A12,J$1)</f>
        <v>-1</v>
      </c>
      <c r="K12" s="6" cm="1">
        <f t="array" ref="K12">getStatus($A12,K$1)</f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 cm="1">
        <f t="array" ref="H13">getStatus($A13,H$1)</f>
        <v>0</v>
      </c>
      <c r="I13" s="6" cm="1">
        <f t="array" ref="I13">getStatus($A13,I$1)</f>
        <v>0</v>
      </c>
      <c r="J13" s="6" cm="1">
        <f t="array" ref="J13">getStatus($A13,J$1)</f>
        <v>1</v>
      </c>
      <c r="K13" s="6" cm="1">
        <f t="array" ref="K13">getStatus($A13,K$1)</f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 cm="1">
        <f t="array" ref="H14">getStatus($A14,H$1)</f>
        <v>0</v>
      </c>
      <c r="I14" s="9" cm="1">
        <f t="array" ref="I14">getStatus($A14,I$1)</f>
        <v>0</v>
      </c>
      <c r="J14" s="9" cm="1">
        <f t="array" ref="J14">getStatus($A14,J$1)</f>
        <v>-1</v>
      </c>
      <c r="K14" s="9" cm="1">
        <f t="array" ref="K14">getStatus($A14,K$1)</f>
        <v>-1</v>
      </c>
      <c r="L14" s="10"/>
      <c r="M14" s="13" t="s">
        <v>47</v>
      </c>
      <c r="N14" s="8"/>
    </row>
  </sheetData>
  <phoneticPr fontId="1"/>
  <conditionalFormatting sqref="H2:K14">
    <cfRule type="cellIs" dxfId="52" priority="1" operator="equal">
      <formula>0</formula>
    </cfRule>
    <cfRule type="cellIs" dxfId="51" priority="2" operator="lessThan">
      <formula>0</formula>
    </cfRule>
    <cfRule type="cellIs" dxfId="50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8" t="s">
        <v>83</v>
      </c>
      <c r="D5" t="s">
        <v>91</v>
      </c>
    </row>
    <row r="6" spans="1:6" x14ac:dyDescent="0.55000000000000004">
      <c r="A6" t="s">
        <v>80</v>
      </c>
      <c r="B6" s="28"/>
      <c r="D6" t="s">
        <v>94</v>
      </c>
    </row>
    <row r="7" spans="1:6" x14ac:dyDescent="0.55000000000000004">
      <c r="A7" t="s">
        <v>82</v>
      </c>
      <c r="B7" s="28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2024-02-09T23:37:35Z</dcterms:modified>
</cp:coreProperties>
</file>