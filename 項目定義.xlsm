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987C19B0-3B4E-4C3E-8C25-CFE9FB0E8785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3" l="1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40" i="3"/>
  <c r="C56" i="3"/>
  <c r="C31" i="3"/>
  <c r="C39" i="3"/>
  <c r="C47" i="3"/>
  <c r="C55" i="3"/>
  <c r="C32" i="3"/>
  <c r="C48" i="3"/>
  <c r="C33" i="3"/>
  <c r="C41" i="3"/>
  <c r="C49" i="3"/>
  <c r="C34" i="3"/>
  <c r="C42" i="3"/>
  <c r="C50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5" i="3"/>
  <c r="C13" i="3"/>
  <c r="C21" i="3"/>
  <c r="C6" i="3"/>
  <c r="C14" i="3"/>
  <c r="C22" i="3"/>
  <c r="C7" i="3"/>
  <c r="C15" i="3"/>
  <c r="C23" i="3"/>
  <c r="C8" i="3"/>
  <c r="C16" i="3"/>
  <c r="C9" i="3"/>
  <c r="C17" i="3"/>
  <c r="C25" i="3"/>
  <c r="C2" i="3"/>
  <c r="C10" i="3"/>
  <c r="C18" i="3"/>
  <c r="C26" i="3"/>
  <c r="C3" i="3"/>
  <c r="C11" i="3"/>
  <c r="C19" i="3"/>
  <c r="C4" i="3"/>
  <c r="C12" i="3"/>
  <c r="C20" i="3"/>
  <c r="C24" i="3"/>
</calcChain>
</file>

<file path=xl/sharedStrings.xml><?xml version="1.0" encoding="utf-8"?>
<sst xmlns="http://schemas.openxmlformats.org/spreadsheetml/2006/main" count="372" uniqueCount="234">
  <si>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</si>
  <si>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</si>
  <si>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</si>
  <si>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</si>
  <si>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</si>
  <si>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</si>
  <si>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</si>
  <si>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</si>
  <si>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</si>
  <si>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</si>
  <si>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</si>
  <si>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</si>
  <si>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</si>
  <si>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</si>
  <si>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</si>
  <si>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</si>
  <si>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</si>
  <si>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</si>
  <si>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</si>
  <si>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</si>
  <si>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</si>
  <si>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</si>
  <si>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</si>
  <si>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</si>
  <si>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</si>
  <si>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</si>
  <si>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</si>
  <si>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</si>
  <si>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</si>
  <si>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</si>
  <si>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</si>
  <si>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</si>
  <si>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</si>
  <si>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</si>
  <si>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</si>
  <si>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</si>
  <si>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</si>
  <si>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</si>
  <si>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</si>
  <si>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</si>
  <si>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</si>
  <si>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</si>
  <si>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</si>
  <si>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</si>
  <si>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</si>
  <si>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</si>
  <si>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</si>
  <si>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</si>
  <si>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</si>
  <si>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</si>
  <si>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</si>
  <si>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</si>
  <si>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</si>
  <si>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</si>
  <si>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</si>
  <si>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</si>
  <si>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</si>
  <si>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</si>
  <si>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</si>
  <si>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</si>
  <si>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</si>
  <si>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</si>
  <si>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</si>
  <si>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</si>
  <si>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</si>
  <si>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</si>
  <si>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</si>
  <si>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</si>
  <si>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</si>
  <si>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</si>
  <si>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</si>
  <si>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</si>
  <si>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</si>
  <si>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</si>
  <si>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</si>
  <si>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</si>
  <si>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</si>
  <si>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</si>
  <si>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</si>
  <si>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</si>
  <si>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</si>
  <si>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</si>
  <si>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</si>
  <si>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</si>
  <si>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</si>
  <si>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</si>
  <si>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</si>
  <si>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</si>
  <si>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</si>
  <si>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</si>
  <si>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</si>
  <si>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</si>
  <si>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</si>
  <si>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</si>
  <si>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</si>
  <si>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</si>
  <si>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</si>
  <si>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</si>
  <si>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</si>
  <si>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</si>
  <si>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</si>
  <si>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</si>
  <si>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</si>
  <si>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</si>
  <si>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</si>
  <si>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</si>
  <si>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</si>
  <si>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</si>
  <si>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</si>
  <si>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</si>
  <si>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</si>
  <si>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</si>
  <si>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</si>
  <si>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</si>
  <si>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</si>
  <si>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</si>
  <si>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</si>
  <si>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</si>
  <si>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</si>
  <si>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</si>
  <si>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</si>
  <si>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</si>
  <si>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</si>
  <si>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</si>
  <si>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</si>
  <si>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</si>
  <si>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</si>
  <si>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</si>
  <si>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</si>
  <si>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</si>
  <si>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</si>
  <si>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</si>
  <si>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</si>
  <si>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</si>
  <si>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</si>
  <si>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</si>
  <si>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</si>
  <si>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</si>
  <si>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</si>
  <si>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</si>
  <si>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</si>
  <si>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</si>
  <si>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</si>
  <si>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</si>
  <si>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</si>
  <si>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</si>
  <si>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</si>
  <si>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</si>
  <si>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</si>
  <si>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</si>
  <si>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</si>
  <si>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</si>
  <si>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</si>
  <si>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</si>
  <si>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</si>
  <si>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</si>
  <si>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</si>
  <si>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</si>
  <si>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</si>
  <si>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</si>
  <si>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</si>
  <si>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</si>
  <si>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</si>
  <si>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</si>
  <si>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</si>
  <si>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</si>
  <si>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</si>
  <si>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</si>
  <si>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</si>
  <si>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</si>
  <si>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</si>
  <si>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</si>
  <si>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</si>
  <si>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</si>
  <si>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</si>
  <si>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</si>
  <si>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</si>
  <si>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</si>
  <si>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</si>
  <si>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</si>
  <si>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</si>
  <si>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</si>
  <si>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</si>
  <si>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</si>
  <si>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</si>
  <si>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</si>
  <si>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</si>
  <si>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</si>
  <si>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</si>
  <si>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</si>
  <si>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</si>
  <si>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</si>
  <si>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</si>
  <si>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</si>
  <si>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</si>
  <si>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</si>
  <si>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</si>
  <si>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</si>
  <si>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</si>
  <si>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</si>
  <si>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</si>
  <si>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</si>
  <si>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</si>
  <si>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</si>
  <si>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</si>
  <si>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</si>
  <si>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</si>
  <si>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</si>
  <si>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</si>
  <si>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</si>
  <si>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</si>
  <si>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</si>
  <si>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</si>
  <si>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</si>
  <si>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</si>
  <si>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</si>
  <si>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</si>
  <si>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</si>
  <si>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</si>
  <si>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</si>
  <si>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</si>
  <si>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</si>
  <si>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</si>
  <si>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</si>
  <si>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</si>
  <si>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</si>
  <si>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</si>
  <si>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</si>
  <si>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</si>
  <si>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</si>
  <si>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</si>
  <si>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</si>
  <si>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^([0-1]?[0-9]|2[0-3]):[0-5][0-9]$</t>
    <phoneticPr fontId="1"/>
  </si>
  <si>
    <t>0012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</si>
</sst>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9" fontId="2" fillId="0" borderId="15" xfId="0" applyNumberFormat="1" applyFont="1" applyFill="1" applyBorder="1">
      <alignment vertical="center"/>
    </xf>
    <xf numFmtId="49" fontId="2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18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1910"/>
  <sheetViews>
    <sheetView showGridLines="0" tabSelected="1" zoomScaleNormal="100" workbookViewId="0">
      <pane ySplit="1" topLeftCell="A17" activePane="bottomLeft" state="frozen"/>
      <selection activeCell="E5" sqref="E5"/>
      <selection pane="bottomLeft" activeCell="J27" sqref="J27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220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38">
        <v>0</v>
      </c>
      <c r="I3" s="38">
        <v>99999</v>
      </c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38">
        <v>0</v>
      </c>
      <c r="I4" s="38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205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222</v>
      </c>
      <c r="E6" s="33"/>
      <c r="F6" s="42"/>
      <c r="G6" s="38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194</v>
      </c>
      <c r="C9" s="26" t="str">
        <f t="shared" si="0"/>
        <v>department</v>
      </c>
      <c r="D9" s="38" t="s">
        <v>222</v>
      </c>
      <c r="E9" s="33"/>
      <c r="F9" s="42"/>
      <c r="G9" s="38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38">
        <v>0</v>
      </c>
      <c r="I11" s="38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220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183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220</v>
      </c>
      <c r="E15" s="33"/>
      <c r="F15" s="42">
        <v>4</v>
      </c>
      <c r="G15" s="42">
        <v>4</v>
      </c>
      <c r="H15" s="33"/>
      <c r="I15" s="33"/>
      <c r="J15" s="40" t="s">
        <v>223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218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184</v>
      </c>
      <c r="K16" s="38" t="s">
        <v>185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178</v>
      </c>
      <c r="C17" s="26" t="str">
        <f t="shared" si="0"/>
        <v>customer_id</v>
      </c>
      <c r="D17" s="38" t="s">
        <v>220</v>
      </c>
      <c r="E17" s="33"/>
      <c r="F17" s="42">
        <v>3</v>
      </c>
      <c r="G17" s="42">
        <v>3</v>
      </c>
      <c r="H17" s="33"/>
      <c r="I17" s="33"/>
      <c r="J17" s="40" t="s">
        <v>186</v>
      </c>
      <c r="K17" s="38" t="s">
        <v>187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219</v>
      </c>
      <c r="B18" s="38" t="s">
        <v>179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188</v>
      </c>
      <c r="K18" s="38" t="s">
        <v>189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180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190</v>
      </c>
      <c r="K19" s="38" t="s">
        <v>191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181</v>
      </c>
      <c r="C20" s="26" t="str">
        <f t="shared" si="0"/>
        <v>profit_rate</v>
      </c>
      <c r="D20" s="38" t="s">
        <v>91</v>
      </c>
      <c r="E20" s="33"/>
      <c r="F20" s="33"/>
      <c r="G20" s="33"/>
      <c r="H20" s="38">
        <v>-10</v>
      </c>
      <c r="I20" s="38">
        <v>10</v>
      </c>
      <c r="J20" s="40" t="s">
        <v>192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182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190</v>
      </c>
      <c r="K21" s="38" t="s">
        <v>193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198</v>
      </c>
      <c r="B22" s="38" t="s">
        <v>202</v>
      </c>
      <c r="C22" s="26" t="str">
        <f t="shared" si="0"/>
        <v>shipping_time</v>
      </c>
      <c r="D22" s="38" t="s">
        <v>199</v>
      </c>
      <c r="E22" s="40" t="s">
        <v>232</v>
      </c>
      <c r="F22" s="33"/>
      <c r="G22" s="33"/>
      <c r="H22" s="33"/>
      <c r="I22" s="33"/>
      <c r="J22" s="40" t="s">
        <v>200</v>
      </c>
      <c r="K22" s="38" t="s">
        <v>201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203</v>
      </c>
      <c r="B23" s="38" t="s">
        <v>206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190</v>
      </c>
      <c r="K23" s="38" t="s">
        <v>208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8" t="s">
        <v>204</v>
      </c>
      <c r="B24" s="38" t="s">
        <v>207</v>
      </c>
      <c r="C24" s="26" t="str">
        <f t="shared" si="0"/>
        <v>customer_type</v>
      </c>
      <c r="D24" s="38" t="s">
        <v>222</v>
      </c>
      <c r="E24" s="33"/>
      <c r="F24" s="42"/>
      <c r="G24" s="38"/>
      <c r="H24" s="33"/>
      <c r="I24" s="33"/>
      <c r="J24" s="40" t="s">
        <v>209</v>
      </c>
      <c r="K24" s="38" t="s">
        <v>210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8" t="s">
        <v>224</v>
      </c>
      <c r="B25" s="38" t="s">
        <v>227</v>
      </c>
      <c r="C25" s="26" t="str">
        <f t="shared" si="0"/>
        <v>approve_datetime</v>
      </c>
      <c r="D25" s="38" t="s">
        <v>229</v>
      </c>
      <c r="E25" s="33"/>
      <c r="F25" s="33"/>
      <c r="G25" s="33"/>
      <c r="H25" s="33"/>
      <c r="I25" s="33"/>
      <c r="J25" s="40" t="s">
        <v>230</v>
      </c>
      <c r="K25" s="38" t="s">
        <v>231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43" t="s">
        <v>225</v>
      </c>
      <c r="B26" s="43" t="s">
        <v>228</v>
      </c>
      <c r="C26" s="44" t="str">
        <f t="shared" si="0"/>
        <v>emploee_no</v>
      </c>
      <c r="D26" s="43" t="s">
        <v>220</v>
      </c>
      <c r="E26" s="45"/>
      <c r="F26" s="46">
        <v>4</v>
      </c>
      <c r="G26" s="46">
        <v>4</v>
      </c>
      <c r="H26" s="45"/>
      <c r="I26" s="45"/>
      <c r="J26" s="47" t="s">
        <v>233</v>
      </c>
      <c r="K26" s="43" t="s">
        <v>225</v>
      </c>
      <c r="L26" s="44" t="str">
        <f>IFERROR(VLOOKUP(D26,ドメインタイプDATA,6,FALSE)&amp;"","")</f>
        <v>string</v>
      </c>
      <c r="M26" s="44" t="str">
        <f>IFERROR(VLOOKUP(D26,ドメインタイプDATA,7,FALSE)&amp;"","")</f>
        <v/>
      </c>
      <c r="N26" s="48">
        <f ca="1">COUNTIF(派生元項目KEY,A26)</f>
        <v>0</v>
      </c>
      <c r="O26" s="48">
        <f ca="1">COUNTIF(区分値項目KEY,A26)</f>
        <v>0</v>
      </c>
    </row>
    <row r="27" spans="1:15" ht="15" x14ac:dyDescent="0.55000000000000004">
      <c r="A27" s="38"/>
      <c r="B27" s="38"/>
      <c r="C27" s="26" t="str">
        <f t="shared" ref="C27:C56" si="1">camel2snake(B27)</f>
        <v/>
      </c>
      <c r="D27" s="38"/>
      <c r="E27" s="38"/>
      <c r="F27" s="38"/>
      <c r="G27" s="38"/>
      <c r="H27" s="38"/>
      <c r="I27" s="38"/>
      <c r="J27" s="40"/>
      <c r="K27" s="38"/>
      <c r="L27" s="26" t="str">
        <f>IFERROR(VLOOKUP(D27,ドメインタイプDATA,6,FALSE)&amp;"","")</f>
        <v/>
      </c>
      <c r="M27" s="26" t="str">
        <f>IFERROR(VLOOKUP(D27,ドメインタイプDATA,7,FALSE)&amp;"","")</f>
        <v/>
      </c>
      <c r="N27" s="32">
        <f ca="1">COUNTIF(派生元項目KEY,A27)</f>
        <v>0</v>
      </c>
      <c r="O27" s="32">
        <f ca="1">COUNTIF(区分値項目KEY,A27)</f>
        <v>0</v>
      </c>
    </row>
    <row r="28" spans="1:15" ht="15" x14ac:dyDescent="0.55000000000000004">
      <c r="A28" s="38"/>
      <c r="B28" s="38"/>
      <c r="C28" s="26" t="str">
        <f t="shared" si="1"/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1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1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1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1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1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si="1"/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0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0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39"/>
      <c r="B56" s="39"/>
      <c r="C56" s="27" t="str">
        <f t="shared" si="1"/>
        <v/>
      </c>
      <c r="D56" s="39"/>
      <c r="E56" s="39"/>
      <c r="F56" s="39"/>
      <c r="G56" s="39"/>
      <c r="H56" s="39"/>
      <c r="I56" s="39"/>
      <c r="J56" s="41"/>
      <c r="K56" s="39"/>
      <c r="L56" s="27" t="str">
        <f>IFERROR(VLOOKUP(D56,ドメインタイプDATA,6,FALSE)&amp;"","")</f>
        <v/>
      </c>
      <c r="M56" s="27" t="str">
        <f>IFERROR(VLOOKUP(D56,ドメインタイプDATA,7,FALSE)&amp;"","")</f>
        <v/>
      </c>
      <c r="N56" s="36">
        <f ca="1">COUNTIF(派生元項目KEY,A56)</f>
        <v>0</v>
      </c>
      <c r="O56" s="36">
        <f ca="1">COUNTIF(区分値項目KEY,A56)</f>
        <v>0</v>
      </c>
    </row>
    <row r="57" spans="1:15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</sheetData>
  <phoneticPr fontId="1"/>
  <conditionalFormatting sqref="B2:B26 D2:D26 J2:K26">
    <cfRule type="expression" dxfId="7" priority="1" stopIfTrue="1">
      <formula>AND($A2&lt;&gt;"",B2="")</formula>
    </cfRule>
  </conditionalFormatting>
  <conditionalFormatting sqref="E22">
    <cfRule type="containsBlanks" dxfId="6" priority="2" stopIfTrue="1">
      <formula>LEN(TRIM(E22))=0</formula>
    </cfRule>
  </conditionalFormatting>
  <conditionalFormatting sqref="F2:G2 F12:G12 G14 F15:G15 G16 F17:G17 G18 F26:G26">
    <cfRule type="containsBlanks" dxfId="5" priority="3" stopIfTrue="1">
      <formula>LEN(TRIM(F2))=0</formula>
    </cfRule>
  </conditionalFormatting>
  <conditionalFormatting sqref="B27:B56 D27:D56 J27:K56">
    <cfRule type="expression" dxfId="0" priority="4" stopIfTrue="1">
      <formula>AND($A27&lt;&gt;"",B27="")</formula>
    </cfRule>
  </conditionalFormatting>
  <dataValidations count="12">
    <dataValidation imeMode="on" allowBlank="1" showInputMessage="1" showErrorMessage="1" sqref="K1911:K1048576 A1 K1 A1911:A1048576" xr:uid="{82371562-DA48-418A-B9E1-F875CA10CC30}"/>
    <dataValidation imeMode="off" allowBlank="1" showInputMessage="1" showErrorMessage="1" sqref="E1:J1 E1911:J1048576 B1 B1911:B1048576" xr:uid="{A44170C6-B920-46F2-AEA3-D4E9954343F7}"/>
    <dataValidation type="list" allowBlank="1" showInputMessage="1" showErrorMessage="1" sqref="D2:D26 D27:D56" xr:uid="{6091F766-549A-4FBC-838C-8FA76185EF42}">
      <formula1>ドメインタイプKEY</formula1>
    </dataValidation>
    <dataValidation imeMode="on" allowBlank="1" showInputMessage="1" showErrorMessage="1" sqref="K2:K26 A2:A26" xr:uid="{FB768DA1-57EB-4027-9A95-CCA005753363}"/>
    <dataValidation imeMode="off" allowBlank="1" showInputMessage="1" showErrorMessage="1" sqref="B2:B26" xr:uid="{B71FC731-A825-4495-940E-CA61336ED683}"/>
    <dataValidation imeMode="off" allowBlank="1" showInputMessage="1" showErrorMessage="1" sqref="E22" xr:uid="{9312C1E9-30F4-4523-98CF-7AA75DD5A1CD}"/>
    <dataValidation imeMode="off" allowBlank="1" showInputMessage="1" showErrorMessage="1" sqref="E7 E14 E16 E18" xr:uid="{3CA468C4-B385-43FE-B6AB-CA71226823BD}"/>
    <dataValidation type="whole" imeMode="off" allowBlank="1" showInputMessage="1" showErrorMessage="1" error="0-1000の間で入力可能" sqref="F2:G2 F12:G12 G14 F15:G15 G16 F17:G17 G18 F26:G26" xr:uid="{7D50FB40-8395-483C-B6F8-DEA784E5DF1A}">
      <formula1>0</formula1>
      <formula2>1000</formula2>
    </dataValidation>
    <dataValidation type="whole" imeMode="off" allowBlank="1" showInputMessage="1" showErrorMessage="1" error="0-1000の間で入力可能" sqref="F6:F7 F9 F14 F16 F18 F24" xr:uid="{28787CFA-5DB0-4C9B-8AE0-FE11E127995E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E24:E26 H26:I26" xr:uid="{B9FED26C-0113-4EA4-B9CB-4189B14E4941}">
      <formula1>0</formula1>
    </dataValidation>
    <dataValidation imeMode="on" allowBlank="1" showInputMessage="1" showErrorMessage="1" sqref="A27:A56 K27:K56" xr:uid="{4B8D73B2-11CD-425C-9CD4-B0DB8B09B97F}"/>
    <dataValidation imeMode="off" allowBlank="1" showInputMessage="1" showErrorMessage="1" sqref="B27:B56" xr:uid="{CAB85E06-4463-489E-9363-382BF8332893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34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195</v>
      </c>
      <c r="D4" s="26" t="str">
        <f t="shared" si="0"/>
        <v>product_pic</v>
      </c>
      <c r="E4" s="38" t="s">
        <v>152</v>
      </c>
    </row>
    <row r="5" spans="1:5" x14ac:dyDescent="0.55000000000000004">
      <c r="A5" s="38" t="s">
        <v>129</v>
      </c>
      <c r="B5" s="38" t="s">
        <v>196</v>
      </c>
      <c r="C5" s="38" t="s">
        <v>197</v>
      </c>
      <c r="D5" s="26" t="str">
        <f t="shared" si="0"/>
        <v>salese_department</v>
      </c>
      <c r="E5" s="38" t="s">
        <v>196</v>
      </c>
    </row>
    <row r="6" spans="1:5" x14ac:dyDescent="0.55000000000000004">
      <c r="A6" s="38"/>
      <c r="B6" s="38"/>
      <c r="C6" s="38"/>
      <c r="D6" s="26" t="str">
        <f t="shared" si="0"/>
        <v/>
      </c>
      <c r="E6" s="38"/>
    </row>
    <row r="7" spans="1:5" x14ac:dyDescent="0.55000000000000004">
      <c r="A7" s="38"/>
      <c r="B7" s="38"/>
      <c r="C7" s="38"/>
      <c r="D7" s="26" t="str">
        <f t="shared" si="0"/>
        <v/>
      </c>
      <c r="E7" s="38"/>
    </row>
    <row r="8" spans="1:5" x14ac:dyDescent="0.55000000000000004">
      <c r="A8" s="38"/>
      <c r="B8" s="38"/>
      <c r="C8" s="38"/>
      <c r="D8" s="26" t="str">
        <f t="shared" si="0"/>
        <v/>
      </c>
      <c r="E8" s="38"/>
    </row>
    <row r="9" spans="1:5" x14ac:dyDescent="0.55000000000000004">
      <c r="A9" s="38"/>
      <c r="B9" s="38"/>
      <c r="C9" s="38"/>
      <c r="D9" s="26" t="str">
        <f t="shared" si="0"/>
        <v/>
      </c>
      <c r="E9" s="38"/>
    </row>
    <row r="10" spans="1:5" x14ac:dyDescent="0.55000000000000004">
      <c r="A10" s="38"/>
      <c r="B10" s="38"/>
      <c r="C10" s="38"/>
      <c r="D10" s="26" t="str">
        <f t="shared" si="0"/>
        <v/>
      </c>
      <c r="E10" s="38"/>
    </row>
    <row r="11" spans="1:5" x14ac:dyDescent="0.55000000000000004">
      <c r="A11" s="38"/>
      <c r="B11" s="38"/>
      <c r="C11" s="38"/>
      <c r="D11" s="26" t="str">
        <f t="shared" si="0"/>
        <v/>
      </c>
      <c r="E11" s="38"/>
    </row>
    <row r="12" spans="1:5" x14ac:dyDescent="0.55000000000000004">
      <c r="A12" s="38"/>
      <c r="B12" s="38"/>
      <c r="C12" s="38"/>
      <c r="D12" s="26" t="str">
        <f t="shared" si="0"/>
        <v/>
      </c>
      <c r="E12" s="38"/>
    </row>
    <row r="13" spans="1:5" x14ac:dyDescent="0.55000000000000004">
      <c r="A13" s="38"/>
      <c r="B13" s="38"/>
      <c r="C13" s="38"/>
      <c r="D13" s="26" t="str">
        <f t="shared" si="0"/>
        <v/>
      </c>
      <c r="E13" s="38"/>
    </row>
    <row r="14" spans="1:5" x14ac:dyDescent="0.55000000000000004">
      <c r="A14" s="38"/>
      <c r="B14" s="38"/>
      <c r="C14" s="38"/>
      <c r="D14" s="26" t="str">
        <f t="shared" si="0"/>
        <v/>
      </c>
      <c r="E14" s="38"/>
    </row>
    <row r="15" spans="1:5" x14ac:dyDescent="0.55000000000000004">
      <c r="A15" s="38"/>
      <c r="B15" s="38"/>
      <c r="C15" s="38"/>
      <c r="D15" s="26" t="str">
        <f t="shared" si="0"/>
        <v/>
      </c>
      <c r="E15" s="38"/>
    </row>
    <row r="16" spans="1:5" x14ac:dyDescent="0.55000000000000004">
      <c r="A16" s="38"/>
      <c r="B16" s="38"/>
      <c r="C16" s="38"/>
      <c r="D16" s="26" t="str">
        <f t="shared" si="0"/>
        <v/>
      </c>
      <c r="E16" s="38"/>
    </row>
    <row r="17" spans="1:5" x14ac:dyDescent="0.55000000000000004">
      <c r="A17" s="38"/>
      <c r="B17" s="38"/>
      <c r="C17" s="38"/>
      <c r="D17" s="26" t="str">
        <f t="shared" si="0"/>
        <v/>
      </c>
      <c r="E17" s="38"/>
    </row>
    <row r="18" spans="1:5" x14ac:dyDescent="0.55000000000000004">
      <c r="A18" s="38"/>
      <c r="B18" s="38"/>
      <c r="C18" s="38"/>
      <c r="D18" s="26" t="str">
        <f t="shared" si="0"/>
        <v/>
      </c>
      <c r="E18" s="38"/>
    </row>
    <row r="19" spans="1:5" x14ac:dyDescent="0.55000000000000004">
      <c r="A19" s="38"/>
      <c r="B19" s="38"/>
      <c r="C19" s="38"/>
      <c r="D19" s="26" t="str">
        <f t="shared" si="0"/>
        <v/>
      </c>
      <c r="E19" s="38"/>
    </row>
    <row r="20" spans="1:5" x14ac:dyDescent="0.55000000000000004">
      <c r="A20" s="38"/>
      <c r="B20" s="38"/>
      <c r="C20" s="38"/>
      <c r="D20" s="26" t="str">
        <f t="shared" si="0"/>
        <v/>
      </c>
      <c r="E20" s="38"/>
    </row>
    <row r="21" spans="1:5" x14ac:dyDescent="0.55000000000000004">
      <c r="A21" s="38"/>
      <c r="B21" s="38"/>
      <c r="C21" s="38"/>
      <c r="D21" s="26" t="str">
        <f t="shared" si="0"/>
        <v/>
      </c>
      <c r="E21" s="38"/>
    </row>
    <row r="22" spans="1:5" x14ac:dyDescent="0.55000000000000004">
      <c r="A22" s="38"/>
      <c r="B22" s="38"/>
      <c r="C22" s="38"/>
      <c r="D22" s="26" t="str">
        <f t="shared" si="0"/>
        <v/>
      </c>
      <c r="E22" s="38"/>
    </row>
    <row r="23" spans="1:5" x14ac:dyDescent="0.55000000000000004">
      <c r="A23" s="38"/>
      <c r="B23" s="38"/>
      <c r="C23" s="38"/>
      <c r="D23" s="26" t="str">
        <f t="shared" si="0"/>
        <v/>
      </c>
      <c r="E23" s="38"/>
    </row>
    <row r="24" spans="1:5" x14ac:dyDescent="0.55000000000000004">
      <c r="A24" s="38"/>
      <c r="B24" s="38"/>
      <c r="C24" s="38"/>
      <c r="D24" s="26" t="str">
        <f t="shared" si="0"/>
        <v/>
      </c>
      <c r="E24" s="38"/>
    </row>
    <row r="25" spans="1:5" x14ac:dyDescent="0.55000000000000004">
      <c r="A25" s="38"/>
      <c r="B25" s="38"/>
      <c r="C25" s="38"/>
      <c r="D25" s="26" t="str">
        <f t="shared" si="0"/>
        <v/>
      </c>
      <c r="E25" s="38"/>
    </row>
    <row r="26" spans="1:5" x14ac:dyDescent="0.55000000000000004">
      <c r="A26" s="38"/>
      <c r="B26" s="38"/>
      <c r="C26" s="38"/>
      <c r="D26" s="26" t="str">
        <f t="shared" si="0"/>
        <v/>
      </c>
      <c r="E26" s="38"/>
    </row>
    <row r="27" spans="1:5" x14ac:dyDescent="0.55000000000000004">
      <c r="A27" s="38"/>
      <c r="B27" s="38"/>
      <c r="C27" s="38"/>
      <c r="D27" s="26" t="str">
        <f t="shared" si="0"/>
        <v/>
      </c>
      <c r="E27" s="38"/>
    </row>
    <row r="28" spans="1:5" x14ac:dyDescent="0.55000000000000004">
      <c r="A28" s="38"/>
      <c r="B28" s="38"/>
      <c r="C28" s="38"/>
      <c r="D28" s="26" t="str">
        <f t="shared" si="0"/>
        <v/>
      </c>
      <c r="E28" s="38"/>
    </row>
    <row r="29" spans="1:5" x14ac:dyDescent="0.55000000000000004">
      <c r="A29" s="38"/>
      <c r="B29" s="38"/>
      <c r="C29" s="38"/>
      <c r="D29" s="26" t="str">
        <f t="shared" si="0"/>
        <v/>
      </c>
      <c r="E29" s="38"/>
    </row>
    <row r="30" spans="1:5" x14ac:dyDescent="0.55000000000000004">
      <c r="A30" s="38"/>
      <c r="B30" s="38"/>
      <c r="C30" s="38"/>
      <c r="D30" s="26" t="str">
        <f t="shared" si="0"/>
        <v/>
      </c>
      <c r="E30" s="38"/>
    </row>
    <row r="31" spans="1:5" x14ac:dyDescent="0.55000000000000004">
      <c r="A31" s="38"/>
      <c r="B31" s="38"/>
      <c r="C31" s="38"/>
      <c r="D31" s="26" t="str">
        <f t="shared" si="0"/>
        <v/>
      </c>
      <c r="E31" s="38"/>
    </row>
    <row r="32" spans="1:5" x14ac:dyDescent="0.55000000000000004">
      <c r="A32" s="38"/>
      <c r="B32" s="38"/>
      <c r="C32" s="38"/>
      <c r="D32" s="26" t="str">
        <f t="shared" si="0"/>
        <v/>
      </c>
      <c r="E32" s="38"/>
    </row>
    <row r="33" spans="1:5" x14ac:dyDescent="0.55000000000000004">
      <c r="A33" s="38"/>
      <c r="B33" s="38"/>
      <c r="C33" s="38"/>
      <c r="D33" s="26" t="str">
        <f t="shared" si="0"/>
        <v/>
      </c>
      <c r="E33" s="38"/>
    </row>
    <row r="34" spans="1:5" x14ac:dyDescent="0.55000000000000004">
      <c r="A34" s="38"/>
      <c r="B34" s="38"/>
      <c r="C34" s="38"/>
      <c r="D34" s="26" t="str">
        <f t="shared" si="0"/>
        <v/>
      </c>
      <c r="E34" s="38"/>
    </row>
    <row r="35" spans="1:5" x14ac:dyDescent="0.55000000000000004">
      <c r="A35" s="39"/>
      <c r="B35" s="39"/>
      <c r="C35" s="39"/>
      <c r="D35" s="27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</sheetData>
  <phoneticPr fontId="1"/>
  <conditionalFormatting sqref="A2:A35">
    <cfRule type="expression" dxfId="4" priority="1" stopIfTrue="1">
      <formula>AND(A2&lt;&gt;"",ISNA(MATCH(A2,項目リスト,0)))</formula>
    </cfRule>
  </conditionalFormatting>
  <conditionalFormatting sqref="B2:C35 E2:E35">
    <cfRule type="expression" dxfId="3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BC1EE595-3505-4797-A6FA-2562748B5F09}"/>
    <dataValidation imeMode="off" allowBlank="1" showInputMessage="1" showErrorMessage="1" sqref="C2:C35" xr:uid="{B0CBD462-488D-4F26-A5A6-A420D3E0BA4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844"/>
  <sheetViews>
    <sheetView showGridLines="0" workbookViewId="0">
      <pane ySplit="1" topLeftCell="A2" activePane="bottomLeft" state="frozen"/>
      <selection activeCell="E5" sqref="E5"/>
      <selection pane="bottomLeft" activeCell="B14" sqref="B14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204</v>
      </c>
      <c r="B11" s="38" t="s">
        <v>211</v>
      </c>
      <c r="C11" s="38" t="s">
        <v>212</v>
      </c>
      <c r="D11" s="38" t="s">
        <v>212</v>
      </c>
    </row>
    <row r="12" spans="1:4" x14ac:dyDescent="0.55000000000000004">
      <c r="A12" s="38" t="s">
        <v>204</v>
      </c>
      <c r="B12" s="38" t="s">
        <v>209</v>
      </c>
      <c r="C12" s="38" t="s">
        <v>101</v>
      </c>
      <c r="D12" s="38" t="s">
        <v>213</v>
      </c>
    </row>
    <row r="13" spans="1:4" x14ac:dyDescent="0.55000000000000004">
      <c r="A13" s="38" t="s">
        <v>204</v>
      </c>
      <c r="B13" s="38" t="s">
        <v>214</v>
      </c>
      <c r="C13" s="38" t="s">
        <v>215</v>
      </c>
      <c r="D13" s="38" t="s">
        <v>215</v>
      </c>
    </row>
    <row r="14" spans="1:4" x14ac:dyDescent="0.55000000000000004">
      <c r="A14" s="38" t="s">
        <v>204</v>
      </c>
      <c r="B14" s="38" t="s">
        <v>216</v>
      </c>
      <c r="C14" s="38" t="s">
        <v>217</v>
      </c>
      <c r="D14" s="38" t="s">
        <v>217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</sheetData>
  <phoneticPr fontId="1"/>
  <conditionalFormatting sqref="A2:A44">
    <cfRule type="expression" dxfId="2" priority="1" stopIfTrue="1">
      <formula>AND(A2&lt;&gt;"",ISNA(MATCH(A2,区分値リスト,0)))</formula>
    </cfRule>
  </conditionalFormatting>
  <conditionalFormatting sqref="B2:D44">
    <cfRule type="expression" dxfId="1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55533256-FFD6-4E51-94C9-3E2768E4B84B}"/>
    <dataValidation imeMode="off" allowBlank="1" showInputMessage="1" showErrorMessage="1" sqref="B2:B44" xr:uid="{B09CE669-108D-42F5-9951-D6B8FD8B56D0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4" activePane="bottomLeft" state="frozen"/>
      <selection pane="bottomLeft" activeCell="D15" sqref="D15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221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0" priority="1" operator="equal">
      <formula>0</formula>
    </cfRule>
    <cfRule type="cellIs" dxfId="9" priority="2" operator="lessThan">
      <formula>0</formula>
    </cfRule>
    <cfRule type="cellIs" dxfId="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6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204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218</v>
      </c>
    </row>
    <row r="17" spans="4:4" x14ac:dyDescent="0.55000000000000004">
      <c r="D17" t="s">
        <v>168</v>
      </c>
    </row>
    <row r="18" spans="4:4" x14ac:dyDescent="0.55000000000000004">
      <c r="D18" t="s">
        <v>219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198</v>
      </c>
    </row>
    <row r="23" spans="4:4" x14ac:dyDescent="0.55000000000000004">
      <c r="D23" t="s">
        <v>203</v>
      </c>
    </row>
    <row r="24" spans="4:4" x14ac:dyDescent="0.55000000000000004">
      <c r="D24" t="s">
        <v>204</v>
      </c>
    </row>
    <row r="25" spans="4:4" x14ac:dyDescent="0.55000000000000004">
      <c r="D25" t="s">
        <v>224</v>
      </c>
    </row>
    <row r="26" spans="4:4" x14ac:dyDescent="0.55000000000000004">
      <c r="D26" t="s">
        <v>225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2024-01-27T08:26:13Z</dcterms:modified>
</cp:coreProperties>
</file>