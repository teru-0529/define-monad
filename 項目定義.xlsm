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C4BEC40E-443E-47A7-89B2-3A367D652D3B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12" i="3"/>
  <c r="C28" i="3"/>
  <c r="C44" i="3"/>
  <c r="C5" i="3"/>
  <c r="C21" i="3"/>
  <c r="C37" i="3"/>
  <c r="C53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20" i="3"/>
  <c r="C36" i="3"/>
  <c r="C52" i="3"/>
  <c r="C13" i="3"/>
  <c r="C29" i="3"/>
  <c r="C45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<sst xmlns="http://schemas.openxmlformats.org/spreadsheetml/2006/main" count="376" uniqueCount="241">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</sst>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14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B10" sqref="B10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90</v>
      </c>
      <c r="B2" s="40" t="s">
        <v>91</v>
      </c>
      <c r="C2" s="36" t="str">
        <f t="shared" ref="C2:C33" si="0">camel2snake(B2)</f>
        <v>product_no</v>
      </c>
      <c r="D2" s="40" t="s">
        <v>141</v>
      </c>
      <c r="E2" s="46"/>
      <c r="F2" s="45">
        <v>9</v>
      </c>
      <c r="G2" s="45">
        <v>10</v>
      </c>
      <c r="H2" s="46"/>
      <c r="I2" s="46"/>
      <c r="J2" s="41" t="s">
        <v>142</v>
      </c>
      <c r="K2" s="40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92</v>
      </c>
      <c r="C3" s="36" t="str">
        <f t="shared" si="0"/>
        <v>price</v>
      </c>
      <c r="D3" s="40" t="s">
        <v>144</v>
      </c>
      <c r="E3" s="46"/>
      <c r="F3" s="46"/>
      <c r="G3" s="46"/>
      <c r="H3" s="45">
        <v>0</v>
      </c>
      <c r="I3" s="45"/>
      <c r="J3" s="41" t="s">
        <v>145</v>
      </c>
      <c r="K3" s="40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40" t="s">
        <v>93</v>
      </c>
      <c r="B4" s="40" t="s">
        <v>94</v>
      </c>
      <c r="C4" s="36" t="str">
        <f t="shared" si="0"/>
        <v>up</v>
      </c>
      <c r="D4" s="40" t="s">
        <v>147</v>
      </c>
      <c r="E4" s="46"/>
      <c r="F4" s="46"/>
      <c r="G4" s="46"/>
      <c r="H4" s="45">
        <v>-1000</v>
      </c>
      <c r="I4" s="45">
        <v>1000</v>
      </c>
      <c r="J4" s="41" t="s">
        <v>148</v>
      </c>
      <c r="K4" s="40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40" t="s">
        <v>95</v>
      </c>
      <c r="B5" s="40" t="s">
        <v>96</v>
      </c>
      <c r="C5" s="36" t="str">
        <f t="shared" si="0"/>
        <v>registration_date</v>
      </c>
      <c r="D5" s="40" t="s">
        <v>150</v>
      </c>
      <c r="E5" s="46"/>
      <c r="F5" s="46"/>
      <c r="G5" s="46"/>
      <c r="H5" s="46"/>
      <c r="I5" s="46"/>
      <c r="J5" s="41" t="s">
        <v>151</v>
      </c>
      <c r="K5" s="40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40" t="s">
        <v>97</v>
      </c>
      <c r="B6" s="40" t="s">
        <v>98</v>
      </c>
      <c r="C6" s="36" t="str">
        <f t="shared" si="0"/>
        <v>product_kbn</v>
      </c>
      <c r="D6" s="40" t="s">
        <v>152</v>
      </c>
      <c r="E6" s="46"/>
      <c r="F6" s="45"/>
      <c r="G6" s="45"/>
      <c r="H6" s="46"/>
      <c r="I6" s="46"/>
      <c r="J6" s="41" t="s">
        <v>153</v>
      </c>
      <c r="K6" s="40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40" t="s">
        <v>99</v>
      </c>
      <c r="B7" s="40" t="s">
        <v>100</v>
      </c>
      <c r="C7" s="36" t="str">
        <f t="shared" si="0"/>
        <v>comment</v>
      </c>
      <c r="D7" s="40" t="s">
        <v>155</v>
      </c>
      <c r="E7" s="44"/>
      <c r="F7" s="45">
        <v>10</v>
      </c>
      <c r="G7" s="46"/>
      <c r="H7" s="46"/>
      <c r="I7" s="46"/>
      <c r="J7" s="41" t="s">
        <v>156</v>
      </c>
      <c r="K7" s="40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40" t="s">
        <v>101</v>
      </c>
      <c r="B8" s="40" t="s">
        <v>102</v>
      </c>
      <c r="C8" s="36" t="str">
        <f t="shared" si="0"/>
        <v>can_update</v>
      </c>
      <c r="D8" s="40" t="s">
        <v>157</v>
      </c>
      <c r="E8" s="46"/>
      <c r="F8" s="46"/>
      <c r="G8" s="46"/>
      <c r="H8" s="46"/>
      <c r="I8" s="46"/>
      <c r="J8" s="41" t="s">
        <v>158</v>
      </c>
      <c r="K8" s="40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40" t="s">
        <v>103</v>
      </c>
      <c r="B9" s="40" t="s">
        <v>104</v>
      </c>
      <c r="C9" s="36" t="str">
        <f t="shared" si="0"/>
        <v>department</v>
      </c>
      <c r="D9" s="40" t="s">
        <v>152</v>
      </c>
      <c r="E9" s="46"/>
      <c r="F9" s="45"/>
      <c r="G9" s="45"/>
      <c r="H9" s="46"/>
      <c r="I9" s="46"/>
      <c r="J9" s="41" t="s">
        <v>160</v>
      </c>
      <c r="K9" s="40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40" t="s">
        <v>105</v>
      </c>
      <c r="B10" s="40" t="s">
        <v>106</v>
      </c>
      <c r="C10" s="36" t="str">
        <f t="shared" si="0"/>
        <v>order_date</v>
      </c>
      <c r="D10" s="40" t="s">
        <v>150</v>
      </c>
      <c r="E10" s="46"/>
      <c r="F10" s="46"/>
      <c r="G10" s="46"/>
      <c r="H10" s="46"/>
      <c r="I10" s="46"/>
      <c r="J10" s="41" t="s">
        <v>151</v>
      </c>
      <c r="K10" s="40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40" t="s">
        <v>107</v>
      </c>
      <c r="B11" s="40" t="s">
        <v>108</v>
      </c>
      <c r="C11" s="36" t="str">
        <f t="shared" si="0"/>
        <v>quantity</v>
      </c>
      <c r="D11" s="40" t="s">
        <v>144</v>
      </c>
      <c r="E11" s="46"/>
      <c r="F11" s="46"/>
      <c r="G11" s="46"/>
      <c r="H11" s="45">
        <v>0</v>
      </c>
      <c r="I11" s="45">
        <v>99999</v>
      </c>
      <c r="J11" s="41" t="s">
        <v>161</v>
      </c>
      <c r="K11" s="40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40" t="s">
        <v>109</v>
      </c>
      <c r="B12" s="40" t="s">
        <v>110</v>
      </c>
      <c r="C12" s="36" t="str">
        <f t="shared" si="0"/>
        <v>received_order_no</v>
      </c>
      <c r="D12" s="40" t="s">
        <v>141</v>
      </c>
      <c r="E12" s="46"/>
      <c r="F12" s="45">
        <v>10</v>
      </c>
      <c r="G12" s="45">
        <v>10</v>
      </c>
      <c r="H12" s="46"/>
      <c r="I12" s="46"/>
      <c r="J12" s="41" t="s">
        <v>162</v>
      </c>
      <c r="K12" s="40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40" t="s">
        <v>111</v>
      </c>
      <c r="B13" s="40" t="s">
        <v>112</v>
      </c>
      <c r="C13" s="36" t="str">
        <f t="shared" si="0"/>
        <v>order_detail_no</v>
      </c>
      <c r="D13" s="40" t="s">
        <v>164</v>
      </c>
      <c r="E13" s="46"/>
      <c r="F13" s="46"/>
      <c r="G13" s="46"/>
      <c r="H13" s="46"/>
      <c r="I13" s="46"/>
      <c r="J13" s="41" t="s">
        <v>165</v>
      </c>
      <c r="K13" s="40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40" t="s">
        <v>113</v>
      </c>
      <c r="B14" s="40" t="s">
        <v>114</v>
      </c>
      <c r="C14" s="36" t="str">
        <f t="shared" si="0"/>
        <v>person_in_charge</v>
      </c>
      <c r="D14" s="40" t="s">
        <v>167</v>
      </c>
      <c r="E14" s="44"/>
      <c r="F14" s="45"/>
      <c r="G14" s="45">
        <v>30</v>
      </c>
      <c r="H14" s="46"/>
      <c r="I14" s="46"/>
      <c r="J14" s="41" t="s">
        <v>168</v>
      </c>
      <c r="K14" s="40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40" t="s">
        <v>115</v>
      </c>
      <c r="B15" s="40" t="s">
        <v>116</v>
      </c>
      <c r="C15" s="36" t="str">
        <f t="shared" si="0"/>
        <v>user_id</v>
      </c>
      <c r="D15" s="40" t="s">
        <v>141</v>
      </c>
      <c r="E15" s="46"/>
      <c r="F15" s="45">
        <v>4</v>
      </c>
      <c r="G15" s="45">
        <v>4</v>
      </c>
      <c r="H15" s="46"/>
      <c r="I15" s="46"/>
      <c r="J15" s="41" t="s">
        <v>170</v>
      </c>
      <c r="K15" s="40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40" t="s">
        <v>117</v>
      </c>
      <c r="B16" s="40" t="s">
        <v>118</v>
      </c>
      <c r="C16" s="36" t="str">
        <f t="shared" si="0"/>
        <v>product_name</v>
      </c>
      <c r="D16" s="40" t="s">
        <v>167</v>
      </c>
      <c r="E16" s="44"/>
      <c r="F16" s="45"/>
      <c r="G16" s="45">
        <v>100</v>
      </c>
      <c r="H16" s="46"/>
      <c r="I16" s="46"/>
      <c r="J16" s="41" t="s">
        <v>172</v>
      </c>
      <c r="K16" s="40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40" t="s">
        <v>119</v>
      </c>
      <c r="B17" s="40" t="s">
        <v>120</v>
      </c>
      <c r="C17" s="36" t="str">
        <f t="shared" si="0"/>
        <v>customer_id</v>
      </c>
      <c r="D17" s="40" t="s">
        <v>141</v>
      </c>
      <c r="E17" s="46"/>
      <c r="F17" s="45">
        <v>3</v>
      </c>
      <c r="G17" s="45">
        <v>3</v>
      </c>
      <c r="H17" s="46"/>
      <c r="I17" s="46"/>
      <c r="J17" s="41" t="s">
        <v>174</v>
      </c>
      <c r="K17" s="40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40" t="s">
        <v>121</v>
      </c>
      <c r="B18" s="40" t="s">
        <v>122</v>
      </c>
      <c r="C18" s="36" t="str">
        <f t="shared" si="0"/>
        <v>customer_name</v>
      </c>
      <c r="D18" s="40" t="s">
        <v>167</v>
      </c>
      <c r="E18" s="44"/>
      <c r="F18" s="45"/>
      <c r="G18" s="45">
        <v>100</v>
      </c>
      <c r="H18" s="46"/>
      <c r="I18" s="46"/>
      <c r="J18" s="41" t="s">
        <v>176</v>
      </c>
      <c r="K18" s="40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40" t="s">
        <v>123</v>
      </c>
      <c r="B19" s="40" t="s">
        <v>124</v>
      </c>
      <c r="C19" s="36" t="str">
        <f t="shared" si="0"/>
        <v>is_working</v>
      </c>
      <c r="D19" s="40" t="s">
        <v>157</v>
      </c>
      <c r="E19" s="46"/>
      <c r="F19" s="46"/>
      <c r="G19" s="46"/>
      <c r="H19" s="46"/>
      <c r="I19" s="46"/>
      <c r="J19" s="41" t="s">
        <v>178</v>
      </c>
      <c r="K19" s="40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40" t="s">
        <v>125</v>
      </c>
      <c r="B20" s="40" t="s">
        <v>126</v>
      </c>
      <c r="C20" s="36" t="str">
        <f t="shared" si="0"/>
        <v>profit_rate</v>
      </c>
      <c r="D20" s="40" t="s">
        <v>147</v>
      </c>
      <c r="E20" s="46"/>
      <c r="F20" s="46"/>
      <c r="G20" s="46"/>
      <c r="H20" s="45"/>
      <c r="I20" s="45">
        <v>10</v>
      </c>
      <c r="J20" s="41" t="s">
        <v>180</v>
      </c>
      <c r="K20" s="40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40" t="s">
        <v>127</v>
      </c>
      <c r="B21" s="40" t="s">
        <v>128</v>
      </c>
      <c r="C21" s="36" t="str">
        <f t="shared" si="0"/>
        <v>exclude_report</v>
      </c>
      <c r="D21" s="40" t="s">
        <v>157</v>
      </c>
      <c r="E21" s="46"/>
      <c r="F21" s="46"/>
      <c r="G21" s="46"/>
      <c r="H21" s="46"/>
      <c r="I21" s="46"/>
      <c r="J21" s="41" t="s">
        <v>178</v>
      </c>
      <c r="K21" s="40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40" t="s">
        <v>129</v>
      </c>
      <c r="B22" s="40" t="s">
        <v>130</v>
      </c>
      <c r="C22" s="36" t="str">
        <f t="shared" si="0"/>
        <v>shipping_time</v>
      </c>
      <c r="D22" s="40" t="s">
        <v>182</v>
      </c>
      <c r="E22" s="44" t="s">
        <v>183</v>
      </c>
      <c r="F22" s="46"/>
      <c r="G22" s="46"/>
      <c r="H22" s="46"/>
      <c r="I22" s="46"/>
      <c r="J22" s="41" t="s">
        <v>184</v>
      </c>
      <c r="K22" s="40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40" t="s">
        <v>131</v>
      </c>
      <c r="B23" s="40" t="s">
        <v>132</v>
      </c>
      <c r="C23" s="36" t="str">
        <f t="shared" si="0"/>
        <v>is_active_customer</v>
      </c>
      <c r="D23" s="40" t="s">
        <v>157</v>
      </c>
      <c r="E23" s="46"/>
      <c r="F23" s="46"/>
      <c r="G23" s="46"/>
      <c r="H23" s="46"/>
      <c r="I23" s="46"/>
      <c r="J23" s="41" t="s">
        <v>178</v>
      </c>
      <c r="K23" s="40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40" t="s">
        <v>133</v>
      </c>
      <c r="B24" s="40" t="s">
        <v>134</v>
      </c>
      <c r="C24" s="36" t="str">
        <f t="shared" si="0"/>
        <v>customer_type</v>
      </c>
      <c r="D24" s="40" t="s">
        <v>152</v>
      </c>
      <c r="E24" s="46"/>
      <c r="F24" s="45"/>
      <c r="G24" s="45"/>
      <c r="H24" s="46"/>
      <c r="I24" s="46"/>
      <c r="J24" s="41" t="s">
        <v>187</v>
      </c>
      <c r="K24" s="40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40" t="s">
        <v>135</v>
      </c>
      <c r="B25" s="40" t="s">
        <v>136</v>
      </c>
      <c r="C25" s="36" t="str">
        <f t="shared" si="0"/>
        <v>approve_datetime</v>
      </c>
      <c r="D25" s="40" t="s">
        <v>189</v>
      </c>
      <c r="E25" s="46"/>
      <c r="F25" s="46"/>
      <c r="G25" s="46"/>
      <c r="H25" s="46"/>
      <c r="I25" s="46"/>
      <c r="J25" s="41" t="s">
        <v>190</v>
      </c>
      <c r="K25" s="40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40" t="s">
        <v>137</v>
      </c>
      <c r="B26" s="40" t="s">
        <v>138</v>
      </c>
      <c r="C26" s="36" t="str">
        <f t="shared" si="0"/>
        <v>emploee_no</v>
      </c>
      <c r="D26" s="40" t="s">
        <v>141</v>
      </c>
      <c r="E26" s="46"/>
      <c r="F26" s="45">
        <v>4</v>
      </c>
      <c r="G26" s="45">
        <v>4</v>
      </c>
      <c r="H26" s="46"/>
      <c r="I26" s="46"/>
      <c r="J26" s="41" t="s">
        <v>192</v>
      </c>
      <c r="K26" s="40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40" t="s">
        <v>139</v>
      </c>
      <c r="B27" s="40" t="s">
        <v>140</v>
      </c>
      <c r="C27" s="36" t="str">
        <f t="shared" si="0"/>
        <v>log_id</v>
      </c>
      <c r="D27" s="40" t="s">
        <v>193</v>
      </c>
      <c r="E27" s="46"/>
      <c r="F27" s="46"/>
      <c r="G27" s="46"/>
      <c r="H27" s="46"/>
      <c r="I27" s="46"/>
      <c r="J27" s="41" t="s">
        <v>194</v>
      </c>
      <c r="K27" s="40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8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9">
        <f ca="1">COUNTIF(派生元項目KEY,A57)</f>
        <v>0</v>
      </c>
      <c r="M57" s="39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A2415:A1048576 A1 K1 K2415:K1048576" xr:uid="{82371562-DA48-418A-B9E1-F875CA10CC30}"/>
    <dataValidation imeMode="off" allowBlank="1" showInputMessage="1" showErrorMessage="1" sqref="E1:J1 E2415:J1048576 B1 B2415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001385B6-50E7-4FF2-9C4E-744421B8C437}"/>
    <dataValidation imeMode="off" allowBlank="1" showInputMessage="1" showErrorMessage="1" sqref="B2:B57" xr:uid="{CA22B9B0-EC2C-41CF-9CCF-30C220F287F2}"/>
    <dataValidation imeMode="off" allowBlank="1" showInputMessage="1" showErrorMessage="1" sqref="E22 E7 E14 E16 E18" xr:uid="{ED0C5532-0D7F-4D43-8AB4-E1AF3366F4CE}"/>
    <dataValidation type="whole" imeMode="off" allowBlank="1" showInputMessage="1" showErrorMessage="1" error="1-1000の間で入力可能" sqref="F2:G2 F12:G12 F26:G26 F6:G6 F7 F9:G9 F14:G18 F24:G24" xr:uid="{CD61B3F6-E4A9-4B2D-975B-18BE586969CD}">
      <formula1>1</formula1>
      <formula2>1000</formula2>
    </dataValidation>
    <dataValidation type="whole" imeMode="off" allowBlank="1" showInputMessage="1" showErrorMessage="1" error="数値のみ入力可能" sqref="H3:I4 H11:I11 H20:I20" xr:uid="{53B636F6-3C3E-47FE-80B8-DDE702431A23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CFCAE2C9-F378-4BD9-8624-4F0F3034786E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58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196</v>
      </c>
      <c r="C2" s="40" t="s">
        <v>197</v>
      </c>
      <c r="D2" s="36" t="str">
        <f t="shared" ref="D2:D35" si="0">camel2snake(C2)</f>
        <v>campane_price</v>
      </c>
      <c r="E2" s="40" t="s">
        <v>204</v>
      </c>
    </row>
    <row r="3" spans="1:5" x14ac:dyDescent="0.55000000000000004">
      <c r="A3" s="40" t="s">
        <v>115</v>
      </c>
      <c r="B3" s="40" t="s">
        <v>198</v>
      </c>
      <c r="C3" s="40" t="s">
        <v>199</v>
      </c>
      <c r="D3" s="36" t="str">
        <f t="shared" si="0"/>
        <v>order_pic</v>
      </c>
      <c r="E3" s="40" t="s">
        <v>205</v>
      </c>
    </row>
    <row r="4" spans="1:5" x14ac:dyDescent="0.55000000000000004">
      <c r="A4" s="40" t="s">
        <v>115</v>
      </c>
      <c r="B4" s="40" t="s">
        <v>200</v>
      </c>
      <c r="C4" s="40" t="s">
        <v>201</v>
      </c>
      <c r="D4" s="36" t="str">
        <f t="shared" si="0"/>
        <v>product_pic</v>
      </c>
      <c r="E4" s="40" t="s">
        <v>206</v>
      </c>
    </row>
    <row r="5" spans="1:5" x14ac:dyDescent="0.55000000000000004">
      <c r="A5" s="40" t="s">
        <v>103</v>
      </c>
      <c r="B5" s="40" t="s">
        <v>202</v>
      </c>
      <c r="C5" s="40" t="s">
        <v>203</v>
      </c>
      <c r="D5" s="36" t="str">
        <f t="shared" si="0"/>
        <v>salese_department</v>
      </c>
      <c r="E5" s="40" t="s">
        <v>202</v>
      </c>
    </row>
    <row r="6" spans="1:5" x14ac:dyDescent="0.55000000000000004">
      <c r="A6" s="40"/>
      <c r="B6" s="40"/>
      <c r="C6" s="40"/>
      <c r="D6" s="36" t="str">
        <f t="shared" si="0"/>
        <v/>
      </c>
      <c r="E6" s="40"/>
    </row>
    <row r="7" spans="1:5" x14ac:dyDescent="0.55000000000000004">
      <c r="A7" s="40"/>
      <c r="B7" s="40"/>
      <c r="C7" s="40"/>
      <c r="D7" s="36" t="str">
        <f t="shared" si="0"/>
        <v/>
      </c>
      <c r="E7" s="40"/>
    </row>
    <row r="8" spans="1:5" x14ac:dyDescent="0.55000000000000004">
      <c r="A8" s="40"/>
      <c r="B8" s="40"/>
      <c r="C8" s="40"/>
      <c r="D8" s="36" t="str">
        <f t="shared" si="0"/>
        <v/>
      </c>
      <c r="E8" s="40"/>
    </row>
    <row r="9" spans="1:5" x14ac:dyDescent="0.55000000000000004">
      <c r="A9" s="40"/>
      <c r="B9" s="40"/>
      <c r="C9" s="40"/>
      <c r="D9" s="36" t="str">
        <f t="shared" si="0"/>
        <v/>
      </c>
      <c r="E9" s="40"/>
    </row>
    <row r="10" spans="1:5" x14ac:dyDescent="0.55000000000000004">
      <c r="A10" s="40"/>
      <c r="B10" s="40"/>
      <c r="C10" s="40"/>
      <c r="D10" s="36" t="str">
        <f t="shared" si="0"/>
        <v/>
      </c>
      <c r="E10" s="40"/>
    </row>
    <row r="11" spans="1:5" x14ac:dyDescent="0.55000000000000004">
      <c r="A11" s="40"/>
      <c r="B11" s="40"/>
      <c r="C11" s="40"/>
      <c r="D11" s="36" t="str">
        <f t="shared" si="0"/>
        <v/>
      </c>
      <c r="E11" s="40"/>
    </row>
    <row r="12" spans="1:5" x14ac:dyDescent="0.55000000000000004">
      <c r="A12" s="40"/>
      <c r="B12" s="40"/>
      <c r="C12" s="40"/>
      <c r="D12" s="36" t="str">
        <f t="shared" si="0"/>
        <v/>
      </c>
      <c r="E12" s="40"/>
    </row>
    <row r="13" spans="1:5" x14ac:dyDescent="0.55000000000000004">
      <c r="A13" s="40"/>
      <c r="B13" s="40"/>
      <c r="C13" s="40"/>
      <c r="D13" s="36" t="str">
        <f t="shared" si="0"/>
        <v/>
      </c>
      <c r="E13" s="40"/>
    </row>
    <row r="14" spans="1:5" x14ac:dyDescent="0.55000000000000004">
      <c r="A14" s="40"/>
      <c r="B14" s="40"/>
      <c r="C14" s="40"/>
      <c r="D14" s="36" t="str">
        <f t="shared" si="0"/>
        <v/>
      </c>
      <c r="E14" s="40"/>
    </row>
    <row r="15" spans="1:5" x14ac:dyDescent="0.55000000000000004">
      <c r="A15" s="40"/>
      <c r="B15" s="40"/>
      <c r="C15" s="40"/>
      <c r="D15" s="36" t="str">
        <f t="shared" si="0"/>
        <v/>
      </c>
      <c r="E15" s="40"/>
    </row>
    <row r="16" spans="1:5" x14ac:dyDescent="0.55000000000000004">
      <c r="A16" s="40"/>
      <c r="B16" s="40"/>
      <c r="C16" s="40"/>
      <c r="D16" s="36" t="str">
        <f t="shared" si="0"/>
        <v/>
      </c>
      <c r="E16" s="40"/>
    </row>
    <row r="17" spans="1:5" x14ac:dyDescent="0.55000000000000004">
      <c r="A17" s="40"/>
      <c r="B17" s="40"/>
      <c r="C17" s="40"/>
      <c r="D17" s="36" t="str">
        <f t="shared" si="0"/>
        <v/>
      </c>
      <c r="E17" s="40"/>
    </row>
    <row r="18" spans="1:5" x14ac:dyDescent="0.55000000000000004">
      <c r="A18" s="40"/>
      <c r="B18" s="40"/>
      <c r="C18" s="40"/>
      <c r="D18" s="36" t="str">
        <f t="shared" si="0"/>
        <v/>
      </c>
      <c r="E18" s="40"/>
    </row>
    <row r="19" spans="1:5" x14ac:dyDescent="0.55000000000000004">
      <c r="A19" s="40"/>
      <c r="B19" s="40"/>
      <c r="C19" s="40"/>
      <c r="D19" s="36" t="str">
        <f t="shared" si="0"/>
        <v/>
      </c>
      <c r="E19" s="40"/>
    </row>
    <row r="20" spans="1:5" x14ac:dyDescent="0.55000000000000004">
      <c r="A20" s="40"/>
      <c r="B20" s="40"/>
      <c r="C20" s="40"/>
      <c r="D20" s="36" t="str">
        <f t="shared" si="0"/>
        <v/>
      </c>
      <c r="E20" s="40"/>
    </row>
    <row r="21" spans="1:5" x14ac:dyDescent="0.55000000000000004">
      <c r="A21" s="40"/>
      <c r="B21" s="40"/>
      <c r="C21" s="40"/>
      <c r="D21" s="36" t="str">
        <f t="shared" si="0"/>
        <v/>
      </c>
      <c r="E21" s="40"/>
    </row>
    <row r="22" spans="1:5" x14ac:dyDescent="0.55000000000000004">
      <c r="A22" s="40"/>
      <c r="B22" s="40"/>
      <c r="C22" s="40"/>
      <c r="D22" s="36" t="str">
        <f t="shared" si="0"/>
        <v/>
      </c>
      <c r="E22" s="40"/>
    </row>
    <row r="23" spans="1:5" x14ac:dyDescent="0.55000000000000004">
      <c r="A23" s="40"/>
      <c r="B23" s="40"/>
      <c r="C23" s="40"/>
      <c r="D23" s="36" t="str">
        <f t="shared" si="0"/>
        <v/>
      </c>
      <c r="E23" s="40"/>
    </row>
    <row r="24" spans="1:5" x14ac:dyDescent="0.55000000000000004">
      <c r="A24" s="40"/>
      <c r="B24" s="40"/>
      <c r="C24" s="40"/>
      <c r="D24" s="36" t="str">
        <f t="shared" si="0"/>
        <v/>
      </c>
      <c r="E24" s="40"/>
    </row>
    <row r="25" spans="1:5" x14ac:dyDescent="0.55000000000000004">
      <c r="A25" s="40"/>
      <c r="B25" s="40"/>
      <c r="C25" s="40"/>
      <c r="D25" s="36" t="str">
        <f t="shared" si="0"/>
        <v/>
      </c>
      <c r="E25" s="40"/>
    </row>
    <row r="26" spans="1:5" x14ac:dyDescent="0.55000000000000004">
      <c r="A26" s="40"/>
      <c r="B26" s="40"/>
      <c r="C26" s="40"/>
      <c r="D26" s="36" t="str">
        <f t="shared" si="0"/>
        <v/>
      </c>
      <c r="E26" s="40"/>
    </row>
    <row r="27" spans="1:5" x14ac:dyDescent="0.55000000000000004">
      <c r="A27" s="40"/>
      <c r="B27" s="40"/>
      <c r="C27" s="40"/>
      <c r="D27" s="36" t="str">
        <f t="shared" si="0"/>
        <v/>
      </c>
      <c r="E27" s="40"/>
    </row>
    <row r="28" spans="1:5" x14ac:dyDescent="0.55000000000000004">
      <c r="A28" s="40"/>
      <c r="B28" s="40"/>
      <c r="C28" s="40"/>
      <c r="D28" s="36" t="str">
        <f t="shared" si="0"/>
        <v/>
      </c>
      <c r="E28" s="40"/>
    </row>
    <row r="29" spans="1:5" x14ac:dyDescent="0.55000000000000004">
      <c r="A29" s="40"/>
      <c r="B29" s="40"/>
      <c r="C29" s="40"/>
      <c r="D29" s="36" t="str">
        <f t="shared" si="0"/>
        <v/>
      </c>
      <c r="E29" s="40"/>
    </row>
    <row r="30" spans="1:5" x14ac:dyDescent="0.55000000000000004">
      <c r="A30" s="40"/>
      <c r="B30" s="40"/>
      <c r="C30" s="40"/>
      <c r="D30" s="36" t="str">
        <f t="shared" si="0"/>
        <v/>
      </c>
      <c r="E30" s="40"/>
    </row>
    <row r="31" spans="1:5" x14ac:dyDescent="0.55000000000000004">
      <c r="A31" s="40"/>
      <c r="B31" s="40"/>
      <c r="C31" s="40"/>
      <c r="D31" s="36" t="str">
        <f t="shared" si="0"/>
        <v/>
      </c>
      <c r="E31" s="40"/>
    </row>
    <row r="32" spans="1:5" x14ac:dyDescent="0.55000000000000004">
      <c r="A32" s="40"/>
      <c r="B32" s="40"/>
      <c r="C32" s="40"/>
      <c r="D32" s="36" t="str">
        <f t="shared" si="0"/>
        <v/>
      </c>
      <c r="E32" s="40"/>
    </row>
    <row r="33" spans="1:5" x14ac:dyDescent="0.55000000000000004">
      <c r="A33" s="40"/>
      <c r="B33" s="40"/>
      <c r="C33" s="40"/>
      <c r="D33" s="36" t="str">
        <f t="shared" si="0"/>
        <v/>
      </c>
      <c r="E33" s="40"/>
    </row>
    <row r="34" spans="1:5" x14ac:dyDescent="0.55000000000000004">
      <c r="A34" s="40"/>
      <c r="B34" s="40"/>
      <c r="C34" s="40"/>
      <c r="D34" s="36" t="str">
        <f t="shared" si="0"/>
        <v/>
      </c>
      <c r="E34" s="40"/>
    </row>
    <row r="35" spans="1:5" x14ac:dyDescent="0.55000000000000004">
      <c r="A35" s="42"/>
      <c r="B35" s="42"/>
      <c r="C35" s="42"/>
      <c r="D35" s="38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1B17444F-55E1-46BC-8652-BE2A5ED80FEF}"/>
    <dataValidation imeMode="off" allowBlank="1" showInputMessage="1" showErrorMessage="1" sqref="C2:C35" xr:uid="{30D7E650-DE5F-4E38-987E-6D0E7C64D097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8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 t="s">
        <v>97</v>
      </c>
      <c r="B2" s="40" t="s">
        <v>207</v>
      </c>
      <c r="C2" s="40" t="s">
        <v>208</v>
      </c>
      <c r="D2" s="40" t="s">
        <v>209</v>
      </c>
    </row>
    <row r="3" spans="1:4" x14ac:dyDescent="0.55000000000000004">
      <c r="A3" s="40" t="s">
        <v>97</v>
      </c>
      <c r="B3" s="40" t="s">
        <v>153</v>
      </c>
      <c r="C3" s="40" t="s">
        <v>210</v>
      </c>
      <c r="D3" s="40" t="s">
        <v>211</v>
      </c>
    </row>
    <row r="4" spans="1:4" x14ac:dyDescent="0.55000000000000004">
      <c r="A4" s="40" t="s">
        <v>97</v>
      </c>
      <c r="B4" s="40" t="s">
        <v>212</v>
      </c>
      <c r="C4" s="40" t="s">
        <v>213</v>
      </c>
      <c r="D4" s="40" t="s">
        <v>214</v>
      </c>
    </row>
    <row r="5" spans="1:4" x14ac:dyDescent="0.55000000000000004">
      <c r="A5" s="40" t="s">
        <v>97</v>
      </c>
      <c r="B5" s="40" t="s">
        <v>215</v>
      </c>
      <c r="C5" s="40" t="s">
        <v>216</v>
      </c>
      <c r="D5" s="40" t="s">
        <v>217</v>
      </c>
    </row>
    <row r="6" spans="1:4" x14ac:dyDescent="0.55000000000000004">
      <c r="A6" s="40" t="s">
        <v>103</v>
      </c>
      <c r="B6" s="40" t="s">
        <v>218</v>
      </c>
      <c r="C6" s="40" t="s">
        <v>219</v>
      </c>
      <c r="D6" s="40" t="s">
        <v>220</v>
      </c>
    </row>
    <row r="7" spans="1:4" x14ac:dyDescent="0.55000000000000004">
      <c r="A7" s="40" t="s">
        <v>103</v>
      </c>
      <c r="B7" s="40" t="s">
        <v>160</v>
      </c>
      <c r="C7" s="40" t="s">
        <v>221</v>
      </c>
      <c r="D7" s="40" t="s">
        <v>222</v>
      </c>
    </row>
    <row r="8" spans="1:4" x14ac:dyDescent="0.55000000000000004">
      <c r="A8" s="40" t="s">
        <v>103</v>
      </c>
      <c r="B8" s="40" t="s">
        <v>223</v>
      </c>
      <c r="C8" s="40" t="s">
        <v>224</v>
      </c>
      <c r="D8" s="40" t="s">
        <v>225</v>
      </c>
    </row>
    <row r="9" spans="1:4" x14ac:dyDescent="0.55000000000000004">
      <c r="A9" s="40" t="s">
        <v>103</v>
      </c>
      <c r="B9" s="40" t="s">
        <v>226</v>
      </c>
      <c r="C9" s="40" t="s">
        <v>227</v>
      </c>
      <c r="D9" s="40" t="s">
        <v>228</v>
      </c>
    </row>
    <row r="10" spans="1:4" x14ac:dyDescent="0.55000000000000004">
      <c r="A10" s="40" t="s">
        <v>103</v>
      </c>
      <c r="B10" s="40" t="s">
        <v>229</v>
      </c>
      <c r="C10" s="40" t="s">
        <v>230</v>
      </c>
      <c r="D10" s="40" t="s">
        <v>231</v>
      </c>
    </row>
    <row r="11" spans="1:4" x14ac:dyDescent="0.55000000000000004">
      <c r="A11" s="40" t="s">
        <v>133</v>
      </c>
      <c r="B11" s="40" t="s">
        <v>232</v>
      </c>
      <c r="C11" s="40" t="s">
        <v>233</v>
      </c>
      <c r="D11" s="40" t="s">
        <v>233</v>
      </c>
    </row>
    <row r="12" spans="1:4" x14ac:dyDescent="0.55000000000000004">
      <c r="A12" s="40" t="s">
        <v>133</v>
      </c>
      <c r="B12" s="40" t="s">
        <v>187</v>
      </c>
      <c r="C12" s="40" t="s">
        <v>210</v>
      </c>
      <c r="D12" s="40" t="s">
        <v>234</v>
      </c>
    </row>
    <row r="13" spans="1:4" x14ac:dyDescent="0.55000000000000004">
      <c r="A13" s="40" t="s">
        <v>133</v>
      </c>
      <c r="B13" s="40" t="s">
        <v>235</v>
      </c>
      <c r="C13" s="40" t="s">
        <v>236</v>
      </c>
      <c r="D13" s="40" t="s">
        <v>236</v>
      </c>
    </row>
    <row r="14" spans="1:4" x14ac:dyDescent="0.55000000000000004">
      <c r="A14" s="40" t="s">
        <v>133</v>
      </c>
      <c r="B14" s="40" t="s">
        <v>237</v>
      </c>
      <c r="C14" s="40" t="s">
        <v>238</v>
      </c>
      <c r="D14" s="40" t="s">
        <v>238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502CF767-4DFA-40C6-9E2A-E97BB9FAB101}"/>
    <dataValidation imeMode="off" allowBlank="1" showInputMessage="1" showErrorMessage="1" sqref="B2:B44" xr:uid="{07A3AA10-D6E7-473D-8DEF-7CC8969CE72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8" sqref="A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2024-02-26T11:44:48Z</dcterms:modified>
</cp:coreProperties>
</file>